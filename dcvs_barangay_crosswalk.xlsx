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rosswalk" sheetId="2" state="visible" r:id="rId4"/>
    <sheet name="DB-only entries" sheetId="3" state="visible" r:id="rId5"/>
    <sheet name="Notes &amp; Sources" sheetId="4" state="visible" r:id="rId6"/>
  </sheets>
  <definedNames>
    <definedName function="false" hidden="true" localSheetId="1" name="_xlnm._FilterDatabase" vbProcedure="false">Crosswalk!$A$1:$K$76</definedName>
    <definedName function="false" hidden="true" localSheetId="2" name="_xlnm._FilterDatabase" vbProcedure="false">'DB-only entries'!$A$1:$H$30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<sst xmlns="http://schemas.openxmlformats.org/spreadsheetml/2006/main" count="789" uniqueCount="272">
  <si>
    <t xml:space="preserve">DCVS barangay crosswalk: PSGC vs boundary file vs database</t>
  </si>
  <si>
    <t xml:space="preserve">Draft for review. Counts below are formulas over the Crosswalk and DB-only entries sheets.</t>
  </si>
  <si>
    <t xml:space="preserve">Metric</t>
  </si>
  <si>
    <t xml:space="preserve">Value</t>
  </si>
  <si>
    <t xml:space="preserve">Note</t>
  </si>
  <si>
    <t xml:space="preserve">Barangays in PSGC (Dasmariñas)</t>
  </si>
  <si>
    <t xml:space="preserve">Official list, 75 as of 31 July 2025.</t>
  </si>
  <si>
    <t xml:space="preserve">Keep (polygon and DB names already match)</t>
  </si>
  <si>
    <t xml:space="preserve">Reported as 37 by the name comparison.</t>
  </si>
  <si>
    <t xml:space="preserve">Rename (format differences only)</t>
  </si>
  <si>
    <t xml:space="preserve">Safe in-place rename keeps barangay_id.</t>
  </si>
  <si>
    <t xml:space="preserve">Merge (split in DB, single in PSGC)</t>
  </si>
  <si>
    <t xml:space="preserve">Repoint reports and users; backup first.</t>
  </si>
  <si>
    <t xml:space="preserve">Needs review (not confirmed)</t>
  </si>
  <si>
    <t xml:space="preserve">Do not guess; confirm with DCVS.</t>
  </si>
  <si>
    <t xml:space="preserve">Add row (no DB row found)</t>
  </si>
  <si>
    <t xml:space="preserve">New rows needed in barangays table.</t>
  </si>
  <si>
    <t xml:space="preserve">Check: actions add up to PSGC total (0 = OK)</t>
  </si>
  <si>
    <t xml:space="preserve">Polygons without DB match (should be 38)</t>
  </si>
  <si>
    <t xml:space="preserve">Matches the Codex report.</t>
  </si>
  <si>
    <t xml:space="preserve">DB entries without polygon match (should be 29)</t>
  </si>
  <si>
    <t xml:space="preserve">Listed on the DB-only entries sheet.</t>
  </si>
  <si>
    <t xml:space="preserve">Population total from PSGC rows (2024 POPCEN)</t>
  </si>
  <si>
    <t xml:space="preserve">Sum of the 75 rows.</t>
  </si>
  <si>
    <t xml:space="preserve">City population reported by PSA (2024 POPCEN)</t>
  </si>
  <si>
    <t xml:space="preserve">Source: PSA PSGC page for City of Dasmariñas (input).</t>
  </si>
  <si>
    <t xml:space="preserve">Difference (0 = transcription check passes)</t>
  </si>
  <si>
    <t xml:space="preserve">PSGC code (10-digit)</t>
  </si>
  <si>
    <t xml:space="preserve">Barangay (PSGC name)</t>
  </si>
  <si>
    <t xml:space="preserve">Urban/Rural</t>
  </si>
  <si>
    <t xml:space="preserve">Population (2024 POPCEN)</t>
  </si>
  <si>
    <t xml:space="preserve">Polygon ↔ DB name match</t>
  </si>
  <si>
    <t xml:space="preserve">Current DB name(s)</t>
  </si>
  <si>
    <t xml:space="preserve">Proposed action</t>
  </si>
  <si>
    <t xml:space="preserve">Needs DCVS review?</t>
  </si>
  <si>
    <t xml:space="preserve">Notes</t>
  </si>
  <si>
    <t xml:space="preserve">Final DB barangay_id (fill in)</t>
  </si>
  <si>
    <t xml:space="preserve">DCVS decision (fill in)</t>
  </si>
  <si>
    <t xml:space="preserve">0402106003</t>
  </si>
  <si>
    <t xml:space="preserve">Burol</t>
  </si>
  <si>
    <t xml:space="preserve">Urban</t>
  </si>
  <si>
    <t xml:space="preserve">Matched</t>
  </si>
  <si>
    <t xml:space="preserve">Keep</t>
  </si>
  <si>
    <t xml:space="preserve">No</t>
  </si>
  <si>
    <t xml:space="preserve">Exact name match reported for this polygon (identified by elimination; not listed individually).</t>
  </si>
  <si>
    <t xml:space="preserve">0402106005</t>
  </si>
  <si>
    <t xml:space="preserve">Langkaan I</t>
  </si>
  <si>
    <t xml:space="preserve">0402106008</t>
  </si>
  <si>
    <t xml:space="preserve">Paliparan I</t>
  </si>
  <si>
    <t xml:space="preserve">0402106010</t>
  </si>
  <si>
    <t xml:space="preserve">Sabang</t>
  </si>
  <si>
    <t xml:space="preserve">0402106011</t>
  </si>
  <si>
    <t xml:space="preserve">Salawag</t>
  </si>
  <si>
    <t xml:space="preserve">0402106012</t>
  </si>
  <si>
    <t xml:space="preserve">Salitran I</t>
  </si>
  <si>
    <t xml:space="preserve">0402106013</t>
  </si>
  <si>
    <t xml:space="preserve">Sampaloc I</t>
  </si>
  <si>
    <t xml:space="preserve">0402106014</t>
  </si>
  <si>
    <t xml:space="preserve">San Agustin I</t>
  </si>
  <si>
    <t xml:space="preserve">0402106015</t>
  </si>
  <si>
    <t xml:space="preserve">San Jose</t>
  </si>
  <si>
    <t xml:space="preserve">0402106016</t>
  </si>
  <si>
    <t xml:space="preserve">Zone I</t>
  </si>
  <si>
    <t xml:space="preserve">Mismatch</t>
  </si>
  <si>
    <t xml:space="preserve">Zone I (Pob.)</t>
  </si>
  <si>
    <t xml:space="preserve">Rename</t>
  </si>
  <si>
    <t xml:space="preserve">Polygon name matches PSGC; DB uses a different format. Rename in place to keep existing barangay_id.</t>
  </si>
  <si>
    <t xml:space="preserve">0402106017</t>
  </si>
  <si>
    <t xml:space="preserve">Zone II</t>
  </si>
  <si>
    <t xml:space="preserve">Rural</t>
  </si>
  <si>
    <t xml:space="preserve">Zone II (Pob.)</t>
  </si>
  <si>
    <t xml:space="preserve">0402106018</t>
  </si>
  <si>
    <t xml:space="preserve">Zone III</t>
  </si>
  <si>
    <t xml:space="preserve">Zone III (Pob.)</t>
  </si>
  <si>
    <t xml:space="preserve">0402106019</t>
  </si>
  <si>
    <t xml:space="preserve">Zone IV</t>
  </si>
  <si>
    <t xml:space="preserve">Zone IV (Pob.)</t>
  </si>
  <si>
    <t xml:space="preserve">0402106020</t>
  </si>
  <si>
    <t xml:space="preserve">Datu Esmael</t>
  </si>
  <si>
    <t xml:space="preserve">0402106021</t>
  </si>
  <si>
    <t xml:space="preserve">Emmanuel Bergado I</t>
  </si>
  <si>
    <t xml:space="preserve">none found</t>
  </si>
  <si>
    <t xml:space="preserve">Needs review</t>
  </si>
  <si>
    <t xml:space="preserve">Yes</t>
  </si>
  <si>
    <t xml:space="preserve">No DB row. DB has unmatched 'Emmanuel Pelaez'; confirm whether related, otherwise add row.</t>
  </si>
  <si>
    <t xml:space="preserve">0402106022</t>
  </si>
  <si>
    <t xml:space="preserve">Fatima I</t>
  </si>
  <si>
    <t xml:space="preserve">0402106023</t>
  </si>
  <si>
    <t xml:space="preserve">Luzviminda I</t>
  </si>
  <si>
    <t xml:space="preserve">Lumina I (possible typo)</t>
  </si>
  <si>
    <t xml:space="preserve">Possible typo in DB; not confirmed. Verify before renaming.</t>
  </si>
  <si>
    <t xml:space="preserve">0402106024</t>
  </si>
  <si>
    <t xml:space="preserve">Saint Peter I</t>
  </si>
  <si>
    <t xml:space="preserve">Add row</t>
  </si>
  <si>
    <t xml:space="preserve">Polygon name matches PSGC; no DB row found in the name comparison.</t>
  </si>
  <si>
    <t xml:space="preserve">0402106025</t>
  </si>
  <si>
    <t xml:space="preserve">San Andres I</t>
  </si>
  <si>
    <t xml:space="preserve">0402106026</t>
  </si>
  <si>
    <t xml:space="preserve">San Antonio De Padua I</t>
  </si>
  <si>
    <t xml:space="preserve">0402106027</t>
  </si>
  <si>
    <t xml:space="preserve">San Dionisio</t>
  </si>
  <si>
    <t xml:space="preserve">0402106028</t>
  </si>
  <si>
    <t xml:space="preserve">San Esteban</t>
  </si>
  <si>
    <t xml:space="preserve">0402106029</t>
  </si>
  <si>
    <t xml:space="preserve">San Francisco I</t>
  </si>
  <si>
    <t xml:space="preserve">0402106030</t>
  </si>
  <si>
    <t xml:space="preserve">San Isidro Labrador I</t>
  </si>
  <si>
    <t xml:space="preserve">0402106031</t>
  </si>
  <si>
    <t xml:space="preserve">San Juan</t>
  </si>
  <si>
    <t xml:space="preserve">San Juan I; San Juan II</t>
  </si>
  <si>
    <t xml:space="preserve">Merge</t>
  </si>
  <si>
    <t xml:space="preserve">DB split this barangay in two; PSGC and polygon have one. Repoint reports/users to one row (backup first).</t>
  </si>
  <si>
    <t xml:space="preserve">0402106032</t>
  </si>
  <si>
    <t xml:space="preserve">San Lorenzo Ruiz I</t>
  </si>
  <si>
    <t xml:space="preserve">0402106033</t>
  </si>
  <si>
    <t xml:space="preserve">San Luis I</t>
  </si>
  <si>
    <t xml:space="preserve">0402106034</t>
  </si>
  <si>
    <t xml:space="preserve">San Manuel I</t>
  </si>
  <si>
    <t xml:space="preserve">0402106035</t>
  </si>
  <si>
    <t xml:space="preserve">San Mateo</t>
  </si>
  <si>
    <t xml:space="preserve">0402106036</t>
  </si>
  <si>
    <t xml:space="preserve">San Miguel</t>
  </si>
  <si>
    <t xml:space="preserve">0402106037</t>
  </si>
  <si>
    <t xml:space="preserve">San Nicolas I</t>
  </si>
  <si>
    <t xml:space="preserve">0402106038</t>
  </si>
  <si>
    <t xml:space="preserve">San Roque</t>
  </si>
  <si>
    <t xml:space="preserve">0402106039</t>
  </si>
  <si>
    <t xml:space="preserve">San Simon</t>
  </si>
  <si>
    <t xml:space="preserve">0402106040</t>
  </si>
  <si>
    <t xml:space="preserve">Santa Cristina I</t>
  </si>
  <si>
    <t xml:space="preserve">0402106041</t>
  </si>
  <si>
    <t xml:space="preserve">Santa Cruz I</t>
  </si>
  <si>
    <t xml:space="preserve">0402106042</t>
  </si>
  <si>
    <t xml:space="preserve">Santa Fe</t>
  </si>
  <si>
    <t xml:space="preserve">Santa Fe I; Santa Fe II</t>
  </si>
  <si>
    <t xml:space="preserve">0402106043</t>
  </si>
  <si>
    <t xml:space="preserve">Santa Lucia</t>
  </si>
  <si>
    <t xml:space="preserve">0402106044</t>
  </si>
  <si>
    <t xml:space="preserve">Santa Maria</t>
  </si>
  <si>
    <t xml:space="preserve">0402106045</t>
  </si>
  <si>
    <t xml:space="preserve">Santo Cristo</t>
  </si>
  <si>
    <t xml:space="preserve">Santo Cristo I; Santo Cristo II</t>
  </si>
  <si>
    <t xml:space="preserve">0402106046</t>
  </si>
  <si>
    <t xml:space="preserve">Santo Niño I</t>
  </si>
  <si>
    <t xml:space="preserve">Sto. Niño I</t>
  </si>
  <si>
    <t xml:space="preserve">0402106047</t>
  </si>
  <si>
    <t xml:space="preserve">Burol I</t>
  </si>
  <si>
    <t xml:space="preserve">0402106048</t>
  </si>
  <si>
    <t xml:space="preserve">Burol II</t>
  </si>
  <si>
    <t xml:space="preserve">0402106049</t>
  </si>
  <si>
    <t xml:space="preserve">Burol III</t>
  </si>
  <si>
    <t xml:space="preserve">0402106050</t>
  </si>
  <si>
    <t xml:space="preserve">Emmanuel Bergado II</t>
  </si>
  <si>
    <t xml:space="preserve">0402106051</t>
  </si>
  <si>
    <t xml:space="preserve">Fatima II</t>
  </si>
  <si>
    <t xml:space="preserve">0402106052</t>
  </si>
  <si>
    <t xml:space="preserve">Fatima III</t>
  </si>
  <si>
    <t xml:space="preserve">0402106053</t>
  </si>
  <si>
    <t xml:space="preserve">Langkaan II</t>
  </si>
  <si>
    <t xml:space="preserve">0402106054</t>
  </si>
  <si>
    <t xml:space="preserve">Luzviminda II</t>
  </si>
  <si>
    <t xml:space="preserve">Lumina II (possible typo)</t>
  </si>
  <si>
    <t xml:space="preserve">0402106055</t>
  </si>
  <si>
    <t xml:space="preserve">Paliparan II</t>
  </si>
  <si>
    <t xml:space="preserve">0402106056</t>
  </si>
  <si>
    <t xml:space="preserve">Paliparan III</t>
  </si>
  <si>
    <t xml:space="preserve">0402106057</t>
  </si>
  <si>
    <t xml:space="preserve">Saint Peter II</t>
  </si>
  <si>
    <t xml:space="preserve">0402106058</t>
  </si>
  <si>
    <t xml:space="preserve">Salitran II</t>
  </si>
  <si>
    <t xml:space="preserve">0402106059</t>
  </si>
  <si>
    <t xml:space="preserve">Salitran III</t>
  </si>
  <si>
    <t xml:space="preserve">0402106060</t>
  </si>
  <si>
    <t xml:space="preserve">Salitran IV</t>
  </si>
  <si>
    <t xml:space="preserve">0402106061</t>
  </si>
  <si>
    <t xml:space="preserve">Sampaloc II</t>
  </si>
  <si>
    <t xml:space="preserve">0402106062</t>
  </si>
  <si>
    <t xml:space="preserve">Sampaloc III</t>
  </si>
  <si>
    <t xml:space="preserve">0402106063</t>
  </si>
  <si>
    <t xml:space="preserve">Sampaloc IV</t>
  </si>
  <si>
    <t xml:space="preserve">0402106064</t>
  </si>
  <si>
    <t xml:space="preserve">Sampaloc V</t>
  </si>
  <si>
    <t xml:space="preserve">0402106065</t>
  </si>
  <si>
    <t xml:space="preserve">San Agustin II</t>
  </si>
  <si>
    <t xml:space="preserve">0402106066</t>
  </si>
  <si>
    <t xml:space="preserve">San Agustin III</t>
  </si>
  <si>
    <t xml:space="preserve">0402106067</t>
  </si>
  <si>
    <t xml:space="preserve">San Andres II</t>
  </si>
  <si>
    <t xml:space="preserve">0402106068</t>
  </si>
  <si>
    <t xml:space="preserve">San Antonio De Padua II</t>
  </si>
  <si>
    <t xml:space="preserve">0402106069</t>
  </si>
  <si>
    <t xml:space="preserve">San Francisco II</t>
  </si>
  <si>
    <t xml:space="preserve">0402106070</t>
  </si>
  <si>
    <t xml:space="preserve">San Isidro Labrador II</t>
  </si>
  <si>
    <t xml:space="preserve">0402106071</t>
  </si>
  <si>
    <t xml:space="preserve">San Lorenzo Ruiz II</t>
  </si>
  <si>
    <t xml:space="preserve">0402106072</t>
  </si>
  <si>
    <t xml:space="preserve">San Luis II</t>
  </si>
  <si>
    <t xml:space="preserve">0402106073</t>
  </si>
  <si>
    <t xml:space="preserve">San Manuel II</t>
  </si>
  <si>
    <t xml:space="preserve">0402106074</t>
  </si>
  <si>
    <t xml:space="preserve">San Miguel II</t>
  </si>
  <si>
    <t xml:space="preserve">0402106075</t>
  </si>
  <si>
    <t xml:space="preserve">San Nicolas II</t>
  </si>
  <si>
    <t xml:space="preserve">0402106076</t>
  </si>
  <si>
    <t xml:space="preserve">Santa Cristina II</t>
  </si>
  <si>
    <t xml:space="preserve">0402106077</t>
  </si>
  <si>
    <t xml:space="preserve">Santa Cruz II</t>
  </si>
  <si>
    <t xml:space="preserve">0402106078</t>
  </si>
  <si>
    <t xml:space="preserve">Santo Niño II</t>
  </si>
  <si>
    <t xml:space="preserve">Sto. Niño II</t>
  </si>
  <si>
    <t xml:space="preserve">0402106079</t>
  </si>
  <si>
    <t xml:space="preserve">Zone I-B</t>
  </si>
  <si>
    <t xml:space="preserve">0402106080</t>
  </si>
  <si>
    <t xml:space="preserve">H-2</t>
  </si>
  <si>
    <t xml:space="preserve">H-95 (possible old/incorrect name)</t>
  </si>
  <si>
    <t xml:space="preserve">Not confirmed. Verify before renaming.</t>
  </si>
  <si>
    <t xml:space="preserve">0402106081</t>
  </si>
  <si>
    <t xml:space="preserve">Victoria Reyes</t>
  </si>
  <si>
    <t xml:space="preserve">Victoria I; Victoria II</t>
  </si>
  <si>
    <t xml:space="preserve">PSGC has one barangay; DB has two. Confirm with DCVS they are the same barangay before merging.</t>
  </si>
  <si>
    <t xml:space="preserve">Current DB entry</t>
  </si>
  <si>
    <t xml:space="preserve">Group</t>
  </si>
  <si>
    <t xml:space="preserve">Suggested PSGC target</t>
  </si>
  <si>
    <t xml:space="preserve">PSGC code (lookup)</t>
  </si>
  <si>
    <t xml:space="preserve">Why</t>
  </si>
  <si>
    <t xml:space="preserve">Linked reports/users (fill in)</t>
  </si>
  <si>
    <t xml:space="preserve">Format only</t>
  </si>
  <si>
    <t xml:space="preserve">Same barangay; '(Pob.)' suffix not used in PSGC.</t>
  </si>
  <si>
    <t xml:space="preserve">Abbreviation; PSGC spells out 'Santo'.</t>
  </si>
  <si>
    <t xml:space="preserve">San Juan I</t>
  </si>
  <si>
    <t xml:space="preserve">Split in DB, single in PSGC</t>
  </si>
  <si>
    <t xml:space="preserve">Merge into one row; repoint reports and users.</t>
  </si>
  <si>
    <t xml:space="preserve">San Juan II</t>
  </si>
  <si>
    <t xml:space="preserve">Santa Fe I</t>
  </si>
  <si>
    <t xml:space="preserve">Santa Fe II</t>
  </si>
  <si>
    <t xml:space="preserve">Santo Cristo I</t>
  </si>
  <si>
    <t xml:space="preserve">Santo Cristo II</t>
  </si>
  <si>
    <t xml:space="preserve">Victoria I</t>
  </si>
  <si>
    <t xml:space="preserve">Confirm with DCVS that this is the same barangay as Victoria Reyes.</t>
  </si>
  <si>
    <t xml:space="preserve">Victoria II</t>
  </si>
  <si>
    <t xml:space="preserve">Lumina I</t>
  </si>
  <si>
    <t xml:space="preserve">Possible typo</t>
  </si>
  <si>
    <t xml:space="preserve">Possible typo; not confirmed.</t>
  </si>
  <si>
    <t xml:space="preserve">Lumina II</t>
  </si>
  <si>
    <t xml:space="preserve">H-95</t>
  </si>
  <si>
    <t xml:space="preserve">Possible old/incorrect name</t>
  </si>
  <si>
    <t xml:space="preserve">Not confirmed.</t>
  </si>
  <si>
    <t xml:space="preserve">Emmanuel Pelaez</t>
  </si>
  <si>
    <t xml:space="preserve">No PSGC match</t>
  </si>
  <si>
    <t xml:space="preserve">Not in the PSGC list for Dasmariñas. Check linked reports/users.</t>
  </si>
  <si>
    <t xml:space="preserve">Magdalo</t>
  </si>
  <si>
    <t xml:space="preserve">Maliksi I</t>
  </si>
  <si>
    <t xml:space="preserve">Maliksi II</t>
  </si>
  <si>
    <t xml:space="preserve">Maliksi III</t>
  </si>
  <si>
    <t xml:space="preserve">Maunlad I</t>
  </si>
  <si>
    <t xml:space="preserve">Maunlad II</t>
  </si>
  <si>
    <t xml:space="preserve">Maunlad III</t>
  </si>
  <si>
    <t xml:space="preserve">Pasong Camachile I</t>
  </si>
  <si>
    <t xml:space="preserve">Pasong Camachile II</t>
  </si>
  <si>
    <t xml:space="preserve">Pasong Kawayan I</t>
  </si>
  <si>
    <t xml:space="preserve">Pasong Kawayan II</t>
  </si>
  <si>
    <t xml:space="preserve">Sources</t>
  </si>
  <si>
    <t xml:space="preserve">PSGC list: PSA, Philippine Standard Geographic Code, City of Dasmariñas (https://psa.gov.ph/classification/psgc/barangays/0402106000), fetched 7 Oct 2026. Licensed CC BY 4.0; keep attribution.</t>
  </si>
  <si>
    <t xml:space="preserve">Boundary vs DB comparison: results reported by the code review of barangays-boundary.json (75 polygons) against the live barangays table (66 entries), trimmed case-insensitive exact name match.</t>
  </si>
  <si>
    <t xml:space="preserve">Assumptions and limits</t>
  </si>
  <si>
    <t xml:space="preserve">1. The 38 polygons without a DB match were each checked against the PSGC list and all 38 have an exact PSGC name. Names only; polygon geometry and borders were not checked.</t>
  </si>
  <si>
    <t xml:space="preserve">2. The 37 'Keep' rows are the PSGC rows not in the 38-name list. They were identified by elimination, not listed individually, so spot-check a few against the DB.</t>
  </si>
  <si>
    <t xml:space="preserve">3. 'Rename' rows are format differences only. 'Merge' rows affect existing reports and users, so run the change in a transaction after a database backup.</t>
  </si>
  <si>
    <t xml:space="preserve">4. 'Needs review' rows are suggestions only. Nothing here is confirmed; verify with DCVS before changing data.</t>
  </si>
  <si>
    <t xml:space="preserve">5. Yellow cells are for you to fill in (final barangay_id, linked report/user counts, DCVS decisions).</t>
  </si>
  <si>
    <t xml:space="preserve">6. Names such as Maliksi, Maunlad, Pasong Camachile and Pasong Kawayan are not in the PSGC list for Dasmariñas. Check how many reports or users reference them before removing anything.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</si>
</sst>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813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E8131"/>
        <bgColor rgb="FF008080"/>
      </patternFill>
    </fill>
    <fill>
      <patternFill patternType="solid">
        <fgColor rgb="FFE8F5E9"/>
        <bgColor rgb="FFE3F2FD"/>
      </patternFill>
    </fill>
    <fill>
      <patternFill patternType="solid">
        <fgColor rgb="FFFFFF00"/>
        <bgColor rgb="FFFFFF00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FF3E0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813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813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8" hidden="false" customHeight="true" outlineLevel="0" collapsed="false">
      <c r="A5" s="4" t="s">
        <v>5</v>
      </c>
      <c r="B5" s="5" t="n">
        <f aca="false">COUNTA(Crosswalk!B2:B76)</f>
        <v>75</v>
      </c>
      <c r="C5" s="4" t="s">
        <v>6</v>
      </c>
    </row>
    <row r="6" customFormat="false" ht="18" hidden="false" customHeight="true" outlineLevel="0" collapsed="false">
      <c r="A6" s="4" t="s">
        <v>7</v>
      </c>
      <c r="B6" s="5" t="n">
        <f aca="false">COUNTIF(Crosswalk!G2:G76,"Keep")</f>
        <v>37</v>
      </c>
      <c r="C6" s="4" t="s">
        <v>8</v>
      </c>
    </row>
    <row r="7" customFormat="false" ht="18" hidden="false" customHeight="true" outlineLevel="0" collapsed="false">
      <c r="A7" s="4" t="s">
        <v>9</v>
      </c>
      <c r="B7" s="5" t="n">
        <f aca="false">COUNTIF(Crosswalk!G2:G76,"Rename")</f>
        <v>6</v>
      </c>
      <c r="C7" s="4" t="s">
        <v>10</v>
      </c>
    </row>
    <row r="8" customFormat="false" ht="18" hidden="false" customHeight="true" outlineLevel="0" collapsed="false">
      <c r="A8" s="4" t="s">
        <v>11</v>
      </c>
      <c r="B8" s="5" t="n">
        <f aca="false">COUNTIF(Crosswalk!G2:G76,"Merge")</f>
        <v>3</v>
      </c>
      <c r="C8" s="4" t="s">
        <v>12</v>
      </c>
    </row>
    <row r="9" customFormat="false" ht="18" hidden="false" customHeight="true" outlineLevel="0" collapsed="false">
      <c r="A9" s="4" t="s">
        <v>13</v>
      </c>
      <c r="B9" s="5" t="n">
        <f aca="false">COUNTIF(Crosswalk!G2:G76,"Needs review")</f>
        <v>6</v>
      </c>
      <c r="C9" s="4" t="s">
        <v>14</v>
      </c>
    </row>
    <row r="10" customFormat="false" ht="18" hidden="false" customHeight="true" outlineLevel="0" collapsed="false">
      <c r="A10" s="4" t="s">
        <v>15</v>
      </c>
      <c r="B10" s="5" t="n">
        <f aca="false">COUNTIF(Crosswalk!G2:G76,"Add row")</f>
        <v>23</v>
      </c>
      <c r="C10" s="4" t="s">
        <v>16</v>
      </c>
    </row>
    <row r="11" customFormat="false" ht="18" hidden="false" customHeight="true" outlineLevel="0" collapsed="false">
      <c r="A11" s="4" t="s">
        <v>17</v>
      </c>
      <c r="B11" s="5" t="n">
        <f aca="false">B5-SUM(B6:B10)</f>
        <v>0</v>
      </c>
      <c r="C11" s="4"/>
    </row>
    <row r="12" customFormat="false" ht="18" hidden="false" customHeight="true" outlineLevel="0" collapsed="false">
      <c r="A12" s="4" t="s">
        <v>18</v>
      </c>
      <c r="B12" s="5" t="n">
        <f aca="false">B7+B8+B9+B10</f>
        <v>38</v>
      </c>
      <c r="C12" s="4" t="s">
        <v>19</v>
      </c>
    </row>
    <row r="13" customFormat="false" ht="18" hidden="false" customHeight="true" outlineLevel="0" collapsed="false">
      <c r="A13" s="4" t="s">
        <v>20</v>
      </c>
      <c r="B13" s="5" t="n">
        <f aca="false">COUNTA('DB-only entries'!A2:A30)</f>
        <v>29</v>
      </c>
      <c r="C13" s="4" t="s">
        <v>21</v>
      </c>
    </row>
    <row r="14" customFormat="false" ht="18" hidden="false" customHeight="true" outlineLevel="0" collapsed="false">
      <c r="A14" s="4" t="s">
        <v>22</v>
      </c>
      <c r="B14" s="5" t="n">
        <f aca="false">SUM(Crosswalk!D2:D76)</f>
        <v>744511</v>
      </c>
      <c r="C14" s="4" t="s">
        <v>23</v>
      </c>
    </row>
    <row r="15" customFormat="false" ht="18" hidden="false" customHeight="true" outlineLevel="0" collapsed="false">
      <c r="A15" s="4" t="s">
        <v>24</v>
      </c>
      <c r="B15" s="6" t="n">
        <v>744511</v>
      </c>
      <c r="C15" s="4" t="s">
        <v>25</v>
      </c>
    </row>
    <row r="16" customFormat="false" ht="18" hidden="false" customHeight="true" outlineLevel="0" collapsed="false">
      <c r="A16" s="4" t="s">
        <v>26</v>
      </c>
      <c r="B16" s="5" t="n">
        <f aca="false">B14-B15</f>
        <v>0</v>
      </c>
      <c r="C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62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31.5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 customFormat="false" ht="23.85" hidden="false" customHeight="false" outlineLevel="0" collapsed="false">
      <c r="A2" s="8" t="s">
        <v>38</v>
      </c>
      <c r="B2" s="4" t="s">
        <v>39</v>
      </c>
      <c r="C2" s="4" t="s">
        <v>40</v>
      </c>
      <c r="D2" s="5" t="n">
        <v>14252</v>
      </c>
      <c r="E2" s="4" t="s">
        <v>41</v>
      </c>
      <c r="F2" s="4" t="s">
        <v>39</v>
      </c>
      <c r="G2" s="9" t="s">
        <v>42</v>
      </c>
      <c r="H2" s="4" t="s">
        <v>43</v>
      </c>
      <c r="I2" s="4" t="s">
        <v>44</v>
      </c>
      <c r="J2" s="10"/>
      <c r="K2" s="10"/>
    </row>
    <row r="3" customFormat="false" ht="23.85" hidden="false" customHeight="false" outlineLevel="0" collapsed="false">
      <c r="A3" s="8" t="s">
        <v>45</v>
      </c>
      <c r="B3" s="4" t="s">
        <v>46</v>
      </c>
      <c r="C3" s="4" t="s">
        <v>40</v>
      </c>
      <c r="D3" s="5" t="n">
        <v>29424</v>
      </c>
      <c r="E3" s="4" t="s">
        <v>41</v>
      </c>
      <c r="F3" s="4" t="s">
        <v>46</v>
      </c>
      <c r="G3" s="9" t="s">
        <v>42</v>
      </c>
      <c r="H3" s="4" t="s">
        <v>43</v>
      </c>
      <c r="I3" s="4" t="s">
        <v>44</v>
      </c>
      <c r="J3" s="10"/>
      <c r="K3" s="10"/>
    </row>
    <row r="4" customFormat="false" ht="23.85" hidden="false" customHeight="false" outlineLevel="0" collapsed="false">
      <c r="A4" s="8" t="s">
        <v>47</v>
      </c>
      <c r="B4" s="4" t="s">
        <v>48</v>
      </c>
      <c r="C4" s="4" t="s">
        <v>40</v>
      </c>
      <c r="D4" s="5" t="n">
        <v>12678</v>
      </c>
      <c r="E4" s="4" t="s">
        <v>41</v>
      </c>
      <c r="F4" s="4" t="s">
        <v>48</v>
      </c>
      <c r="G4" s="9" t="s">
        <v>42</v>
      </c>
      <c r="H4" s="4" t="s">
        <v>43</v>
      </c>
      <c r="I4" s="4" t="s">
        <v>44</v>
      </c>
      <c r="J4" s="10"/>
      <c r="K4" s="10"/>
    </row>
    <row r="5" customFormat="false" ht="23.85" hidden="false" customHeight="false" outlineLevel="0" collapsed="false">
      <c r="A5" s="8" t="s">
        <v>49</v>
      </c>
      <c r="B5" s="4" t="s">
        <v>50</v>
      </c>
      <c r="C5" s="4" t="s">
        <v>40</v>
      </c>
      <c r="D5" s="5" t="n">
        <v>18866</v>
      </c>
      <c r="E5" s="4" t="s">
        <v>41</v>
      </c>
      <c r="F5" s="4" t="s">
        <v>50</v>
      </c>
      <c r="G5" s="9" t="s">
        <v>42</v>
      </c>
      <c r="H5" s="4" t="s">
        <v>43</v>
      </c>
      <c r="I5" s="4" t="s">
        <v>44</v>
      </c>
      <c r="J5" s="10"/>
      <c r="K5" s="10"/>
    </row>
    <row r="6" customFormat="false" ht="23.85" hidden="false" customHeight="false" outlineLevel="0" collapsed="false">
      <c r="A6" s="8" t="s">
        <v>51</v>
      </c>
      <c r="B6" s="4" t="s">
        <v>52</v>
      </c>
      <c r="C6" s="4" t="s">
        <v>40</v>
      </c>
      <c r="D6" s="5" t="n">
        <v>83756</v>
      </c>
      <c r="E6" s="4" t="s">
        <v>41</v>
      </c>
      <c r="F6" s="4" t="s">
        <v>52</v>
      </c>
      <c r="G6" s="9" t="s">
        <v>42</v>
      </c>
      <c r="H6" s="4" t="s">
        <v>43</v>
      </c>
      <c r="I6" s="4" t="s">
        <v>44</v>
      </c>
      <c r="J6" s="10"/>
      <c r="K6" s="10"/>
    </row>
    <row r="7" customFormat="false" ht="23.85" hidden="false" customHeight="false" outlineLevel="0" collapsed="false">
      <c r="A7" s="8" t="s">
        <v>53</v>
      </c>
      <c r="B7" s="4" t="s">
        <v>54</v>
      </c>
      <c r="C7" s="4" t="s">
        <v>40</v>
      </c>
      <c r="D7" s="5" t="n">
        <v>5577</v>
      </c>
      <c r="E7" s="4" t="s">
        <v>41</v>
      </c>
      <c r="F7" s="4" t="s">
        <v>54</v>
      </c>
      <c r="G7" s="9" t="s">
        <v>42</v>
      </c>
      <c r="H7" s="4" t="s">
        <v>43</v>
      </c>
      <c r="I7" s="4" t="s">
        <v>44</v>
      </c>
      <c r="J7" s="10"/>
      <c r="K7" s="10"/>
    </row>
    <row r="8" customFormat="false" ht="23.85" hidden="false" customHeight="false" outlineLevel="0" collapsed="false">
      <c r="A8" s="8" t="s">
        <v>55</v>
      </c>
      <c r="B8" s="4" t="s">
        <v>56</v>
      </c>
      <c r="C8" s="4" t="s">
        <v>40</v>
      </c>
      <c r="D8" s="5" t="n">
        <v>7795</v>
      </c>
      <c r="E8" s="4" t="s">
        <v>41</v>
      </c>
      <c r="F8" s="4" t="s">
        <v>56</v>
      </c>
      <c r="G8" s="9" t="s">
        <v>42</v>
      </c>
      <c r="H8" s="4" t="s">
        <v>43</v>
      </c>
      <c r="I8" s="4" t="s">
        <v>44</v>
      </c>
      <c r="J8" s="10"/>
      <c r="K8" s="10"/>
    </row>
    <row r="9" customFormat="false" ht="23.85" hidden="false" customHeight="false" outlineLevel="0" collapsed="false">
      <c r="A9" s="8" t="s">
        <v>57</v>
      </c>
      <c r="B9" s="4" t="s">
        <v>58</v>
      </c>
      <c r="C9" s="4" t="s">
        <v>40</v>
      </c>
      <c r="D9" s="5" t="n">
        <v>12328</v>
      </c>
      <c r="E9" s="4" t="s">
        <v>41</v>
      </c>
      <c r="F9" s="4" t="s">
        <v>58</v>
      </c>
      <c r="G9" s="9" t="s">
        <v>42</v>
      </c>
      <c r="H9" s="4" t="s">
        <v>43</v>
      </c>
      <c r="I9" s="4" t="s">
        <v>44</v>
      </c>
      <c r="J9" s="10"/>
      <c r="K9" s="10"/>
    </row>
    <row r="10" customFormat="false" ht="23.85" hidden="false" customHeight="false" outlineLevel="0" collapsed="false">
      <c r="A10" s="8" t="s">
        <v>59</v>
      </c>
      <c r="B10" s="4" t="s">
        <v>60</v>
      </c>
      <c r="C10" s="4" t="s">
        <v>40</v>
      </c>
      <c r="D10" s="5" t="n">
        <v>12172</v>
      </c>
      <c r="E10" s="4" t="s">
        <v>41</v>
      </c>
      <c r="F10" s="4" t="s">
        <v>60</v>
      </c>
      <c r="G10" s="9" t="s">
        <v>42</v>
      </c>
      <c r="H10" s="4" t="s">
        <v>43</v>
      </c>
      <c r="I10" s="4" t="s">
        <v>44</v>
      </c>
      <c r="J10" s="10"/>
      <c r="K10" s="10"/>
    </row>
    <row r="11" customFormat="false" ht="23.85" hidden="false" customHeight="false" outlineLevel="0" collapsed="false">
      <c r="A11" s="8" t="s">
        <v>61</v>
      </c>
      <c r="B11" s="4" t="s">
        <v>62</v>
      </c>
      <c r="C11" s="4" t="s">
        <v>40</v>
      </c>
      <c r="D11" s="5" t="n">
        <v>4446</v>
      </c>
      <c r="E11" s="4" t="s">
        <v>63</v>
      </c>
      <c r="F11" s="4" t="s">
        <v>64</v>
      </c>
      <c r="G11" s="11" t="s">
        <v>65</v>
      </c>
      <c r="H11" s="4" t="s">
        <v>43</v>
      </c>
      <c r="I11" s="4" t="s">
        <v>66</v>
      </c>
      <c r="J11" s="10"/>
      <c r="K11" s="10"/>
    </row>
    <row r="12" customFormat="false" ht="23.85" hidden="false" customHeight="false" outlineLevel="0" collapsed="false">
      <c r="A12" s="8" t="s">
        <v>67</v>
      </c>
      <c r="B12" s="4" t="s">
        <v>68</v>
      </c>
      <c r="C12" s="4" t="s">
        <v>69</v>
      </c>
      <c r="D12" s="5" t="n">
        <v>1709</v>
      </c>
      <c r="E12" s="4" t="s">
        <v>63</v>
      </c>
      <c r="F12" s="4" t="s">
        <v>70</v>
      </c>
      <c r="G12" s="11" t="s">
        <v>65</v>
      </c>
      <c r="H12" s="4" t="s">
        <v>43</v>
      </c>
      <c r="I12" s="4" t="s">
        <v>66</v>
      </c>
      <c r="J12" s="10"/>
      <c r="K12" s="10"/>
    </row>
    <row r="13" customFormat="false" ht="23.85" hidden="false" customHeight="false" outlineLevel="0" collapsed="false">
      <c r="A13" s="8" t="s">
        <v>71</v>
      </c>
      <c r="B13" s="4" t="s">
        <v>72</v>
      </c>
      <c r="C13" s="4" t="s">
        <v>40</v>
      </c>
      <c r="D13" s="5" t="n">
        <v>4889</v>
      </c>
      <c r="E13" s="4" t="s">
        <v>63</v>
      </c>
      <c r="F13" s="4" t="s">
        <v>73</v>
      </c>
      <c r="G13" s="11" t="s">
        <v>65</v>
      </c>
      <c r="H13" s="4" t="s">
        <v>43</v>
      </c>
      <c r="I13" s="4" t="s">
        <v>66</v>
      </c>
      <c r="J13" s="10"/>
      <c r="K13" s="10"/>
    </row>
    <row r="14" customFormat="false" ht="23.85" hidden="false" customHeight="false" outlineLevel="0" collapsed="false">
      <c r="A14" s="8" t="s">
        <v>74</v>
      </c>
      <c r="B14" s="4" t="s">
        <v>75</v>
      </c>
      <c r="C14" s="4" t="s">
        <v>40</v>
      </c>
      <c r="D14" s="5" t="n">
        <v>3910</v>
      </c>
      <c r="E14" s="4" t="s">
        <v>63</v>
      </c>
      <c r="F14" s="4" t="s">
        <v>76</v>
      </c>
      <c r="G14" s="11" t="s">
        <v>65</v>
      </c>
      <c r="H14" s="4" t="s">
        <v>43</v>
      </c>
      <c r="I14" s="4" t="s">
        <v>66</v>
      </c>
      <c r="J14" s="10"/>
      <c r="K14" s="10"/>
    </row>
    <row r="15" customFormat="false" ht="23.85" hidden="false" customHeight="false" outlineLevel="0" collapsed="false">
      <c r="A15" s="8" t="s">
        <v>77</v>
      </c>
      <c r="B15" s="4" t="s">
        <v>78</v>
      </c>
      <c r="C15" s="4" t="s">
        <v>40</v>
      </c>
      <c r="D15" s="5" t="n">
        <v>8271</v>
      </c>
      <c r="E15" s="4" t="s">
        <v>41</v>
      </c>
      <c r="F15" s="4" t="s">
        <v>78</v>
      </c>
      <c r="G15" s="9" t="s">
        <v>42</v>
      </c>
      <c r="H15" s="4" t="s">
        <v>43</v>
      </c>
      <c r="I15" s="4" t="s">
        <v>44</v>
      </c>
      <c r="J15" s="10"/>
      <c r="K15" s="10"/>
    </row>
    <row r="16" customFormat="false" ht="23.85" hidden="false" customHeight="false" outlineLevel="0" collapsed="false">
      <c r="A16" s="8" t="s">
        <v>79</v>
      </c>
      <c r="B16" s="4" t="s">
        <v>80</v>
      </c>
      <c r="C16" s="4" t="s">
        <v>40</v>
      </c>
      <c r="D16" s="5" t="n">
        <v>8313</v>
      </c>
      <c r="E16" s="4" t="s">
        <v>63</v>
      </c>
      <c r="F16" s="4" t="s">
        <v>81</v>
      </c>
      <c r="G16" s="12" t="s">
        <v>82</v>
      </c>
      <c r="H16" s="4" t="s">
        <v>83</v>
      </c>
      <c r="I16" s="4" t="s">
        <v>84</v>
      </c>
      <c r="J16" s="10"/>
      <c r="K16" s="10"/>
    </row>
    <row r="17" customFormat="false" ht="23.85" hidden="false" customHeight="false" outlineLevel="0" collapsed="false">
      <c r="A17" s="8" t="s">
        <v>85</v>
      </c>
      <c r="B17" s="4" t="s">
        <v>86</v>
      </c>
      <c r="C17" s="4" t="s">
        <v>40</v>
      </c>
      <c r="D17" s="5" t="n">
        <v>7340</v>
      </c>
      <c r="E17" s="4" t="s">
        <v>41</v>
      </c>
      <c r="F17" s="4" t="s">
        <v>86</v>
      </c>
      <c r="G17" s="9" t="s">
        <v>42</v>
      </c>
      <c r="H17" s="4" t="s">
        <v>43</v>
      </c>
      <c r="I17" s="4" t="s">
        <v>44</v>
      </c>
      <c r="J17" s="10"/>
      <c r="K17" s="10"/>
    </row>
    <row r="18" customFormat="false" ht="15" hidden="false" customHeight="false" outlineLevel="0" collapsed="false">
      <c r="A18" s="8" t="s">
        <v>87</v>
      </c>
      <c r="B18" s="4" t="s">
        <v>88</v>
      </c>
      <c r="C18" s="4" t="s">
        <v>69</v>
      </c>
      <c r="D18" s="5" t="n">
        <v>3571</v>
      </c>
      <c r="E18" s="4" t="s">
        <v>63</v>
      </c>
      <c r="F18" s="4" t="s">
        <v>89</v>
      </c>
      <c r="G18" s="12" t="s">
        <v>82</v>
      </c>
      <c r="H18" s="4" t="s">
        <v>83</v>
      </c>
      <c r="I18" s="4" t="s">
        <v>90</v>
      </c>
      <c r="J18" s="10"/>
      <c r="K18" s="10"/>
    </row>
    <row r="19" customFormat="false" ht="15" hidden="false" customHeight="false" outlineLevel="0" collapsed="false">
      <c r="A19" s="8" t="s">
        <v>91</v>
      </c>
      <c r="B19" s="4" t="s">
        <v>92</v>
      </c>
      <c r="C19" s="4" t="s">
        <v>69</v>
      </c>
      <c r="D19" s="5" t="n">
        <v>2262</v>
      </c>
      <c r="E19" s="4" t="s">
        <v>63</v>
      </c>
      <c r="F19" s="4" t="s">
        <v>81</v>
      </c>
      <c r="G19" s="13" t="s">
        <v>93</v>
      </c>
      <c r="H19" s="4" t="s">
        <v>43</v>
      </c>
      <c r="I19" s="4" t="s">
        <v>94</v>
      </c>
      <c r="J19" s="10"/>
      <c r="K19" s="10"/>
    </row>
    <row r="20" customFormat="false" ht="23.85" hidden="false" customHeight="false" outlineLevel="0" collapsed="false">
      <c r="A20" s="8" t="s">
        <v>95</v>
      </c>
      <c r="B20" s="4" t="s">
        <v>96</v>
      </c>
      <c r="C20" s="4" t="s">
        <v>69</v>
      </c>
      <c r="D20" s="5" t="n">
        <v>4334</v>
      </c>
      <c r="E20" s="4" t="s">
        <v>41</v>
      </c>
      <c r="F20" s="4" t="s">
        <v>96</v>
      </c>
      <c r="G20" s="9" t="s">
        <v>42</v>
      </c>
      <c r="H20" s="4" t="s">
        <v>43</v>
      </c>
      <c r="I20" s="4" t="s">
        <v>44</v>
      </c>
      <c r="J20" s="10"/>
      <c r="K20" s="10"/>
    </row>
    <row r="21" customFormat="false" ht="15" hidden="false" customHeight="false" outlineLevel="0" collapsed="false">
      <c r="A21" s="8" t="s">
        <v>97</v>
      </c>
      <c r="B21" s="4" t="s">
        <v>98</v>
      </c>
      <c r="C21" s="4" t="s">
        <v>40</v>
      </c>
      <c r="D21" s="5" t="n">
        <v>3515</v>
      </c>
      <c r="E21" s="4" t="s">
        <v>63</v>
      </c>
      <c r="F21" s="4" t="s">
        <v>81</v>
      </c>
      <c r="G21" s="13" t="s">
        <v>93</v>
      </c>
      <c r="H21" s="4" t="s">
        <v>43</v>
      </c>
      <c r="I21" s="4" t="s">
        <v>94</v>
      </c>
      <c r="J21" s="10"/>
      <c r="K21" s="10"/>
    </row>
    <row r="22" customFormat="false" ht="15" hidden="false" customHeight="false" outlineLevel="0" collapsed="false">
      <c r="A22" s="8" t="s">
        <v>99</v>
      </c>
      <c r="B22" s="4" t="s">
        <v>100</v>
      </c>
      <c r="C22" s="4" t="s">
        <v>40</v>
      </c>
      <c r="D22" s="5" t="n">
        <v>6765</v>
      </c>
      <c r="E22" s="4" t="s">
        <v>63</v>
      </c>
      <c r="F22" s="4" t="s">
        <v>81</v>
      </c>
      <c r="G22" s="13" t="s">
        <v>93</v>
      </c>
      <c r="H22" s="4" t="s">
        <v>43</v>
      </c>
      <c r="I22" s="4" t="s">
        <v>94</v>
      </c>
      <c r="J22" s="10"/>
      <c r="K22" s="10"/>
    </row>
    <row r="23" customFormat="false" ht="15" hidden="false" customHeight="false" outlineLevel="0" collapsed="false">
      <c r="A23" s="8" t="s">
        <v>101</v>
      </c>
      <c r="B23" s="4" t="s">
        <v>102</v>
      </c>
      <c r="C23" s="4" t="s">
        <v>69</v>
      </c>
      <c r="D23" s="5" t="n">
        <v>4435</v>
      </c>
      <c r="E23" s="4" t="s">
        <v>63</v>
      </c>
      <c r="F23" s="4" t="s">
        <v>81</v>
      </c>
      <c r="G23" s="13" t="s">
        <v>93</v>
      </c>
      <c r="H23" s="4" t="s">
        <v>43</v>
      </c>
      <c r="I23" s="4" t="s">
        <v>94</v>
      </c>
      <c r="J23" s="10"/>
      <c r="K23" s="10"/>
    </row>
    <row r="24" customFormat="false" ht="15" hidden="false" customHeight="false" outlineLevel="0" collapsed="false">
      <c r="A24" s="8" t="s">
        <v>103</v>
      </c>
      <c r="B24" s="4" t="s">
        <v>104</v>
      </c>
      <c r="C24" s="4" t="s">
        <v>69</v>
      </c>
      <c r="D24" s="5" t="n">
        <v>3115</v>
      </c>
      <c r="E24" s="4" t="s">
        <v>63</v>
      </c>
      <c r="F24" s="4" t="s">
        <v>81</v>
      </c>
      <c r="G24" s="13" t="s">
        <v>93</v>
      </c>
      <c r="H24" s="4" t="s">
        <v>43</v>
      </c>
      <c r="I24" s="4" t="s">
        <v>94</v>
      </c>
      <c r="J24" s="10"/>
      <c r="K24" s="10"/>
    </row>
    <row r="25" customFormat="false" ht="23.85" hidden="false" customHeight="false" outlineLevel="0" collapsed="false">
      <c r="A25" s="8" t="s">
        <v>105</v>
      </c>
      <c r="B25" s="4" t="s">
        <v>106</v>
      </c>
      <c r="C25" s="4" t="s">
        <v>69</v>
      </c>
      <c r="D25" s="5" t="n">
        <v>4794</v>
      </c>
      <c r="E25" s="4" t="s">
        <v>41</v>
      </c>
      <c r="F25" s="4" t="s">
        <v>106</v>
      </c>
      <c r="G25" s="9" t="s">
        <v>42</v>
      </c>
      <c r="H25" s="4" t="s">
        <v>43</v>
      </c>
      <c r="I25" s="4" t="s">
        <v>44</v>
      </c>
      <c r="J25" s="10"/>
      <c r="K25" s="10"/>
    </row>
    <row r="26" customFormat="false" ht="23.85" hidden="false" customHeight="false" outlineLevel="0" collapsed="false">
      <c r="A26" s="8" t="s">
        <v>107</v>
      </c>
      <c r="B26" s="4" t="s">
        <v>108</v>
      </c>
      <c r="C26" s="4" t="s">
        <v>69</v>
      </c>
      <c r="D26" s="5" t="n">
        <v>3872</v>
      </c>
      <c r="E26" s="4" t="s">
        <v>63</v>
      </c>
      <c r="F26" s="4" t="s">
        <v>109</v>
      </c>
      <c r="G26" s="14" t="s">
        <v>110</v>
      </c>
      <c r="H26" s="4" t="s">
        <v>83</v>
      </c>
      <c r="I26" s="4" t="s">
        <v>111</v>
      </c>
      <c r="J26" s="10"/>
      <c r="K26" s="10"/>
    </row>
    <row r="27" customFormat="false" ht="23.85" hidden="false" customHeight="false" outlineLevel="0" collapsed="false">
      <c r="A27" s="8" t="s">
        <v>112</v>
      </c>
      <c r="B27" s="4" t="s">
        <v>113</v>
      </c>
      <c r="C27" s="4" t="s">
        <v>69</v>
      </c>
      <c r="D27" s="5" t="n">
        <v>3423</v>
      </c>
      <c r="E27" s="4" t="s">
        <v>41</v>
      </c>
      <c r="F27" s="4" t="s">
        <v>113</v>
      </c>
      <c r="G27" s="9" t="s">
        <v>42</v>
      </c>
      <c r="H27" s="4" t="s">
        <v>43</v>
      </c>
      <c r="I27" s="4" t="s">
        <v>44</v>
      </c>
      <c r="J27" s="10"/>
      <c r="K27" s="10"/>
    </row>
    <row r="28" customFormat="false" ht="15" hidden="false" customHeight="false" outlineLevel="0" collapsed="false">
      <c r="A28" s="8" t="s">
        <v>114</v>
      </c>
      <c r="B28" s="4" t="s">
        <v>115</v>
      </c>
      <c r="C28" s="4" t="s">
        <v>69</v>
      </c>
      <c r="D28" s="5" t="n">
        <v>3862</v>
      </c>
      <c r="E28" s="4" t="s">
        <v>63</v>
      </c>
      <c r="F28" s="4" t="s">
        <v>81</v>
      </c>
      <c r="G28" s="13" t="s">
        <v>93</v>
      </c>
      <c r="H28" s="4" t="s">
        <v>43</v>
      </c>
      <c r="I28" s="4" t="s">
        <v>94</v>
      </c>
      <c r="J28" s="10"/>
      <c r="K28" s="10"/>
    </row>
    <row r="29" customFormat="false" ht="15" hidden="false" customHeight="false" outlineLevel="0" collapsed="false">
      <c r="A29" s="8" t="s">
        <v>116</v>
      </c>
      <c r="B29" s="4" t="s">
        <v>117</v>
      </c>
      <c r="C29" s="4" t="s">
        <v>69</v>
      </c>
      <c r="D29" s="5" t="n">
        <v>2723</v>
      </c>
      <c r="E29" s="4" t="s">
        <v>63</v>
      </c>
      <c r="F29" s="4" t="s">
        <v>81</v>
      </c>
      <c r="G29" s="13" t="s">
        <v>93</v>
      </c>
      <c r="H29" s="4" t="s">
        <v>43</v>
      </c>
      <c r="I29" s="4" t="s">
        <v>94</v>
      </c>
      <c r="J29" s="10"/>
      <c r="K29" s="10"/>
    </row>
    <row r="30" customFormat="false" ht="15" hidden="false" customHeight="false" outlineLevel="0" collapsed="false">
      <c r="A30" s="8" t="s">
        <v>118</v>
      </c>
      <c r="B30" s="4" t="s">
        <v>119</v>
      </c>
      <c r="C30" s="4" t="s">
        <v>69</v>
      </c>
      <c r="D30" s="5" t="n">
        <v>5078</v>
      </c>
      <c r="E30" s="4" t="s">
        <v>63</v>
      </c>
      <c r="F30" s="4" t="s">
        <v>81</v>
      </c>
      <c r="G30" s="13" t="s">
        <v>93</v>
      </c>
      <c r="H30" s="4" t="s">
        <v>43</v>
      </c>
      <c r="I30" s="4" t="s">
        <v>94</v>
      </c>
      <c r="J30" s="10"/>
      <c r="K30" s="10"/>
    </row>
    <row r="31" customFormat="false" ht="23.85" hidden="false" customHeight="false" outlineLevel="0" collapsed="false">
      <c r="A31" s="8" t="s">
        <v>120</v>
      </c>
      <c r="B31" s="4" t="s">
        <v>121</v>
      </c>
      <c r="C31" s="4" t="s">
        <v>69</v>
      </c>
      <c r="D31" s="5" t="n">
        <v>4325</v>
      </c>
      <c r="E31" s="4" t="s">
        <v>41</v>
      </c>
      <c r="F31" s="4" t="s">
        <v>121</v>
      </c>
      <c r="G31" s="9" t="s">
        <v>42</v>
      </c>
      <c r="H31" s="4" t="s">
        <v>43</v>
      </c>
      <c r="I31" s="4" t="s">
        <v>44</v>
      </c>
      <c r="J31" s="10"/>
      <c r="K31" s="10"/>
    </row>
    <row r="32" customFormat="false" ht="15" hidden="false" customHeight="false" outlineLevel="0" collapsed="false">
      <c r="A32" s="8" t="s">
        <v>122</v>
      </c>
      <c r="B32" s="4" t="s">
        <v>123</v>
      </c>
      <c r="C32" s="4" t="s">
        <v>69</v>
      </c>
      <c r="D32" s="5" t="n">
        <v>2094</v>
      </c>
      <c r="E32" s="4" t="s">
        <v>63</v>
      </c>
      <c r="F32" s="4" t="s">
        <v>81</v>
      </c>
      <c r="G32" s="13" t="s">
        <v>93</v>
      </c>
      <c r="H32" s="4" t="s">
        <v>43</v>
      </c>
      <c r="I32" s="4" t="s">
        <v>94</v>
      </c>
      <c r="J32" s="10"/>
      <c r="K32" s="10"/>
    </row>
    <row r="33" customFormat="false" ht="15" hidden="false" customHeight="false" outlineLevel="0" collapsed="false">
      <c r="A33" s="8" t="s">
        <v>124</v>
      </c>
      <c r="B33" s="4" t="s">
        <v>125</v>
      </c>
      <c r="C33" s="4" t="s">
        <v>69</v>
      </c>
      <c r="D33" s="5" t="n">
        <v>2958</v>
      </c>
      <c r="E33" s="4" t="s">
        <v>63</v>
      </c>
      <c r="F33" s="4" t="s">
        <v>81</v>
      </c>
      <c r="G33" s="13" t="s">
        <v>93</v>
      </c>
      <c r="H33" s="4" t="s">
        <v>43</v>
      </c>
      <c r="I33" s="4" t="s">
        <v>94</v>
      </c>
      <c r="J33" s="10"/>
      <c r="K33" s="10"/>
    </row>
    <row r="34" customFormat="false" ht="23.85" hidden="false" customHeight="false" outlineLevel="0" collapsed="false">
      <c r="A34" s="8" t="s">
        <v>126</v>
      </c>
      <c r="B34" s="4" t="s">
        <v>127</v>
      </c>
      <c r="C34" s="4" t="s">
        <v>40</v>
      </c>
      <c r="D34" s="5" t="n">
        <v>6384</v>
      </c>
      <c r="E34" s="4" t="s">
        <v>41</v>
      </c>
      <c r="F34" s="4" t="s">
        <v>127</v>
      </c>
      <c r="G34" s="9" t="s">
        <v>42</v>
      </c>
      <c r="H34" s="4" t="s">
        <v>43</v>
      </c>
      <c r="I34" s="4" t="s">
        <v>44</v>
      </c>
      <c r="J34" s="10"/>
      <c r="K34" s="10"/>
    </row>
    <row r="35" customFormat="false" ht="15" hidden="false" customHeight="false" outlineLevel="0" collapsed="false">
      <c r="A35" s="8" t="s">
        <v>128</v>
      </c>
      <c r="B35" s="4" t="s">
        <v>129</v>
      </c>
      <c r="C35" s="4" t="s">
        <v>69</v>
      </c>
      <c r="D35" s="5" t="n">
        <v>3337</v>
      </c>
      <c r="E35" s="4" t="s">
        <v>63</v>
      </c>
      <c r="F35" s="4" t="s">
        <v>81</v>
      </c>
      <c r="G35" s="13" t="s">
        <v>93</v>
      </c>
      <c r="H35" s="4" t="s">
        <v>43</v>
      </c>
      <c r="I35" s="4" t="s">
        <v>94</v>
      </c>
      <c r="J35" s="10"/>
      <c r="K35" s="10"/>
    </row>
    <row r="36" customFormat="false" ht="23.85" hidden="false" customHeight="false" outlineLevel="0" collapsed="false">
      <c r="A36" s="8" t="s">
        <v>130</v>
      </c>
      <c r="B36" s="4" t="s">
        <v>131</v>
      </c>
      <c r="C36" s="4" t="s">
        <v>40</v>
      </c>
      <c r="D36" s="5" t="n">
        <v>5285</v>
      </c>
      <c r="E36" s="4" t="s">
        <v>41</v>
      </c>
      <c r="F36" s="4" t="s">
        <v>131</v>
      </c>
      <c r="G36" s="9" t="s">
        <v>42</v>
      </c>
      <c r="H36" s="4" t="s">
        <v>43</v>
      </c>
      <c r="I36" s="4" t="s">
        <v>44</v>
      </c>
      <c r="J36" s="10"/>
      <c r="K36" s="10"/>
    </row>
    <row r="37" customFormat="false" ht="23.85" hidden="false" customHeight="false" outlineLevel="0" collapsed="false">
      <c r="A37" s="8" t="s">
        <v>132</v>
      </c>
      <c r="B37" s="4" t="s">
        <v>133</v>
      </c>
      <c r="C37" s="4" t="s">
        <v>40</v>
      </c>
      <c r="D37" s="5" t="n">
        <v>6395</v>
      </c>
      <c r="E37" s="4" t="s">
        <v>63</v>
      </c>
      <c r="F37" s="4" t="s">
        <v>134</v>
      </c>
      <c r="G37" s="14" t="s">
        <v>110</v>
      </c>
      <c r="H37" s="4" t="s">
        <v>83</v>
      </c>
      <c r="I37" s="4" t="s">
        <v>111</v>
      </c>
      <c r="J37" s="10"/>
      <c r="K37" s="10"/>
    </row>
    <row r="38" customFormat="false" ht="15" hidden="false" customHeight="false" outlineLevel="0" collapsed="false">
      <c r="A38" s="8" t="s">
        <v>135</v>
      </c>
      <c r="B38" s="4" t="s">
        <v>136</v>
      </c>
      <c r="C38" s="4" t="s">
        <v>40</v>
      </c>
      <c r="D38" s="5" t="n">
        <v>6040</v>
      </c>
      <c r="E38" s="4" t="s">
        <v>63</v>
      </c>
      <c r="F38" s="4" t="s">
        <v>81</v>
      </c>
      <c r="G38" s="13" t="s">
        <v>93</v>
      </c>
      <c r="H38" s="4" t="s">
        <v>43</v>
      </c>
      <c r="I38" s="4" t="s">
        <v>94</v>
      </c>
      <c r="J38" s="10"/>
      <c r="K38" s="10"/>
    </row>
    <row r="39" customFormat="false" ht="15" hidden="false" customHeight="false" outlineLevel="0" collapsed="false">
      <c r="A39" s="8" t="s">
        <v>137</v>
      </c>
      <c r="B39" s="4" t="s">
        <v>138</v>
      </c>
      <c r="C39" s="4" t="s">
        <v>40</v>
      </c>
      <c r="D39" s="5" t="n">
        <v>5183</v>
      </c>
      <c r="E39" s="4" t="s">
        <v>63</v>
      </c>
      <c r="F39" s="4" t="s">
        <v>81</v>
      </c>
      <c r="G39" s="13" t="s">
        <v>93</v>
      </c>
      <c r="H39" s="4" t="s">
        <v>43</v>
      </c>
      <c r="I39" s="4" t="s">
        <v>94</v>
      </c>
      <c r="J39" s="10"/>
      <c r="K39" s="10"/>
    </row>
    <row r="40" customFormat="false" ht="23.85" hidden="false" customHeight="false" outlineLevel="0" collapsed="false">
      <c r="A40" s="8" t="s">
        <v>139</v>
      </c>
      <c r="B40" s="4" t="s">
        <v>140</v>
      </c>
      <c r="C40" s="4" t="s">
        <v>69</v>
      </c>
      <c r="D40" s="5" t="n">
        <v>4104</v>
      </c>
      <c r="E40" s="4" t="s">
        <v>63</v>
      </c>
      <c r="F40" s="4" t="s">
        <v>141</v>
      </c>
      <c r="G40" s="14" t="s">
        <v>110</v>
      </c>
      <c r="H40" s="4" t="s">
        <v>83</v>
      </c>
      <c r="I40" s="4" t="s">
        <v>111</v>
      </c>
      <c r="J40" s="10"/>
      <c r="K40" s="10"/>
    </row>
    <row r="41" customFormat="false" ht="23.85" hidden="false" customHeight="false" outlineLevel="0" collapsed="false">
      <c r="A41" s="8" t="s">
        <v>142</v>
      </c>
      <c r="B41" s="4" t="s">
        <v>143</v>
      </c>
      <c r="C41" s="4" t="s">
        <v>69</v>
      </c>
      <c r="D41" s="5" t="n">
        <v>2870</v>
      </c>
      <c r="E41" s="4" t="s">
        <v>63</v>
      </c>
      <c r="F41" s="4" t="s">
        <v>144</v>
      </c>
      <c r="G41" s="11" t="s">
        <v>65</v>
      </c>
      <c r="H41" s="4" t="s">
        <v>43</v>
      </c>
      <c r="I41" s="4" t="s">
        <v>66</v>
      </c>
      <c r="J41" s="10"/>
      <c r="K41" s="10"/>
    </row>
    <row r="42" customFormat="false" ht="23.85" hidden="false" customHeight="false" outlineLevel="0" collapsed="false">
      <c r="A42" s="8" t="s">
        <v>145</v>
      </c>
      <c r="B42" s="4" t="s">
        <v>146</v>
      </c>
      <c r="C42" s="4" t="s">
        <v>40</v>
      </c>
      <c r="D42" s="5" t="n">
        <v>18522</v>
      </c>
      <c r="E42" s="4" t="s">
        <v>41</v>
      </c>
      <c r="F42" s="4" t="s">
        <v>146</v>
      </c>
      <c r="G42" s="9" t="s">
        <v>42</v>
      </c>
      <c r="H42" s="4" t="s">
        <v>43</v>
      </c>
      <c r="I42" s="4" t="s">
        <v>44</v>
      </c>
      <c r="J42" s="10"/>
      <c r="K42" s="10"/>
    </row>
    <row r="43" customFormat="false" ht="23.85" hidden="false" customHeight="false" outlineLevel="0" collapsed="false">
      <c r="A43" s="8" t="s">
        <v>147</v>
      </c>
      <c r="B43" s="4" t="s">
        <v>148</v>
      </c>
      <c r="C43" s="4" t="s">
        <v>40</v>
      </c>
      <c r="D43" s="5" t="n">
        <v>6000</v>
      </c>
      <c r="E43" s="4" t="s">
        <v>41</v>
      </c>
      <c r="F43" s="4" t="s">
        <v>148</v>
      </c>
      <c r="G43" s="9" t="s">
        <v>42</v>
      </c>
      <c r="H43" s="4" t="s">
        <v>43</v>
      </c>
      <c r="I43" s="4" t="s">
        <v>44</v>
      </c>
      <c r="J43" s="10"/>
      <c r="K43" s="10"/>
    </row>
    <row r="44" customFormat="false" ht="23.85" hidden="false" customHeight="false" outlineLevel="0" collapsed="false">
      <c r="A44" s="8" t="s">
        <v>149</v>
      </c>
      <c r="B44" s="4" t="s">
        <v>150</v>
      </c>
      <c r="C44" s="4" t="s">
        <v>40</v>
      </c>
      <c r="D44" s="5" t="n">
        <v>11534</v>
      </c>
      <c r="E44" s="4" t="s">
        <v>41</v>
      </c>
      <c r="F44" s="4" t="s">
        <v>150</v>
      </c>
      <c r="G44" s="9" t="s">
        <v>42</v>
      </c>
      <c r="H44" s="4" t="s">
        <v>43</v>
      </c>
      <c r="I44" s="4" t="s">
        <v>44</v>
      </c>
      <c r="J44" s="10"/>
      <c r="K44" s="10"/>
    </row>
    <row r="45" customFormat="false" ht="23.85" hidden="false" customHeight="false" outlineLevel="0" collapsed="false">
      <c r="A45" s="8" t="s">
        <v>151</v>
      </c>
      <c r="B45" s="4" t="s">
        <v>152</v>
      </c>
      <c r="C45" s="4" t="s">
        <v>69</v>
      </c>
      <c r="D45" s="5" t="n">
        <v>2898</v>
      </c>
      <c r="E45" s="4" t="s">
        <v>63</v>
      </c>
      <c r="F45" s="4" t="s">
        <v>81</v>
      </c>
      <c r="G45" s="12" t="s">
        <v>82</v>
      </c>
      <c r="H45" s="4" t="s">
        <v>83</v>
      </c>
      <c r="I45" s="4" t="s">
        <v>84</v>
      </c>
      <c r="J45" s="10"/>
      <c r="K45" s="10"/>
    </row>
    <row r="46" customFormat="false" ht="23.85" hidden="false" customHeight="false" outlineLevel="0" collapsed="false">
      <c r="A46" s="8" t="s">
        <v>153</v>
      </c>
      <c r="B46" s="4" t="s">
        <v>154</v>
      </c>
      <c r="C46" s="4" t="s">
        <v>40</v>
      </c>
      <c r="D46" s="5" t="n">
        <v>4370</v>
      </c>
      <c r="E46" s="4" t="s">
        <v>41</v>
      </c>
      <c r="F46" s="4" t="s">
        <v>154</v>
      </c>
      <c r="G46" s="9" t="s">
        <v>42</v>
      </c>
      <c r="H46" s="4" t="s">
        <v>43</v>
      </c>
      <c r="I46" s="4" t="s">
        <v>44</v>
      </c>
      <c r="J46" s="10"/>
      <c r="K46" s="10"/>
    </row>
    <row r="47" customFormat="false" ht="23.85" hidden="false" customHeight="false" outlineLevel="0" collapsed="false">
      <c r="A47" s="8" t="s">
        <v>155</v>
      </c>
      <c r="B47" s="4" t="s">
        <v>156</v>
      </c>
      <c r="C47" s="4" t="s">
        <v>69</v>
      </c>
      <c r="D47" s="5" t="n">
        <v>3903</v>
      </c>
      <c r="E47" s="4" t="s">
        <v>41</v>
      </c>
      <c r="F47" s="4" t="s">
        <v>156</v>
      </c>
      <c r="G47" s="9" t="s">
        <v>42</v>
      </c>
      <c r="H47" s="4" t="s">
        <v>43</v>
      </c>
      <c r="I47" s="4" t="s">
        <v>44</v>
      </c>
      <c r="J47" s="10"/>
      <c r="K47" s="10"/>
    </row>
    <row r="48" customFormat="false" ht="23.85" hidden="false" customHeight="false" outlineLevel="0" collapsed="false">
      <c r="A48" s="8" t="s">
        <v>157</v>
      </c>
      <c r="B48" s="4" t="s">
        <v>158</v>
      </c>
      <c r="C48" s="4" t="s">
        <v>40</v>
      </c>
      <c r="D48" s="5" t="n">
        <v>38506</v>
      </c>
      <c r="E48" s="4" t="s">
        <v>41</v>
      </c>
      <c r="F48" s="4" t="s">
        <v>158</v>
      </c>
      <c r="G48" s="9" t="s">
        <v>42</v>
      </c>
      <c r="H48" s="4" t="s">
        <v>43</v>
      </c>
      <c r="I48" s="4" t="s">
        <v>44</v>
      </c>
      <c r="J48" s="10"/>
      <c r="K48" s="10"/>
    </row>
    <row r="49" customFormat="false" ht="15" hidden="false" customHeight="false" outlineLevel="0" collapsed="false">
      <c r="A49" s="8" t="s">
        <v>159</v>
      </c>
      <c r="B49" s="4" t="s">
        <v>160</v>
      </c>
      <c r="C49" s="4" t="s">
        <v>40</v>
      </c>
      <c r="D49" s="5" t="n">
        <v>5068</v>
      </c>
      <c r="E49" s="4" t="s">
        <v>63</v>
      </c>
      <c r="F49" s="4" t="s">
        <v>161</v>
      </c>
      <c r="G49" s="12" t="s">
        <v>82</v>
      </c>
      <c r="H49" s="4" t="s">
        <v>83</v>
      </c>
      <c r="I49" s="4" t="s">
        <v>90</v>
      </c>
      <c r="J49" s="10"/>
      <c r="K49" s="10"/>
    </row>
    <row r="50" customFormat="false" ht="23.85" hidden="false" customHeight="false" outlineLevel="0" collapsed="false">
      <c r="A50" s="8" t="s">
        <v>162</v>
      </c>
      <c r="B50" s="4" t="s">
        <v>163</v>
      </c>
      <c r="C50" s="4" t="s">
        <v>40</v>
      </c>
      <c r="D50" s="5" t="n">
        <v>23626</v>
      </c>
      <c r="E50" s="4" t="s">
        <v>41</v>
      </c>
      <c r="F50" s="4" t="s">
        <v>163</v>
      </c>
      <c r="G50" s="9" t="s">
        <v>42</v>
      </c>
      <c r="H50" s="4" t="s">
        <v>43</v>
      </c>
      <c r="I50" s="4" t="s">
        <v>44</v>
      </c>
      <c r="J50" s="10"/>
      <c r="K50" s="10"/>
    </row>
    <row r="51" customFormat="false" ht="23.85" hidden="false" customHeight="false" outlineLevel="0" collapsed="false">
      <c r="A51" s="8" t="s">
        <v>164</v>
      </c>
      <c r="B51" s="4" t="s">
        <v>165</v>
      </c>
      <c r="C51" s="4" t="s">
        <v>40</v>
      </c>
      <c r="D51" s="5" t="n">
        <v>77355</v>
      </c>
      <c r="E51" s="4" t="s">
        <v>41</v>
      </c>
      <c r="F51" s="4" t="s">
        <v>165</v>
      </c>
      <c r="G51" s="9" t="s">
        <v>42</v>
      </c>
      <c r="H51" s="4" t="s">
        <v>43</v>
      </c>
      <c r="I51" s="4" t="s">
        <v>44</v>
      </c>
      <c r="J51" s="10"/>
      <c r="K51" s="10"/>
    </row>
    <row r="52" customFormat="false" ht="15" hidden="false" customHeight="false" outlineLevel="0" collapsed="false">
      <c r="A52" s="8" t="s">
        <v>166</v>
      </c>
      <c r="B52" s="4" t="s">
        <v>167</v>
      </c>
      <c r="C52" s="4" t="s">
        <v>69</v>
      </c>
      <c r="D52" s="5" t="n">
        <v>2813</v>
      </c>
      <c r="E52" s="4" t="s">
        <v>63</v>
      </c>
      <c r="F52" s="4" t="s">
        <v>81</v>
      </c>
      <c r="G52" s="13" t="s">
        <v>93</v>
      </c>
      <c r="H52" s="4" t="s">
        <v>43</v>
      </c>
      <c r="I52" s="4" t="s">
        <v>94</v>
      </c>
      <c r="J52" s="10"/>
      <c r="K52" s="10"/>
    </row>
    <row r="53" customFormat="false" ht="23.85" hidden="false" customHeight="false" outlineLevel="0" collapsed="false">
      <c r="A53" s="8" t="s">
        <v>168</v>
      </c>
      <c r="B53" s="4" t="s">
        <v>169</v>
      </c>
      <c r="C53" s="4" t="s">
        <v>40</v>
      </c>
      <c r="D53" s="5" t="n">
        <v>14200</v>
      </c>
      <c r="E53" s="4" t="s">
        <v>41</v>
      </c>
      <c r="F53" s="4" t="s">
        <v>169</v>
      </c>
      <c r="G53" s="9" t="s">
        <v>42</v>
      </c>
      <c r="H53" s="4" t="s">
        <v>43</v>
      </c>
      <c r="I53" s="4" t="s">
        <v>44</v>
      </c>
      <c r="J53" s="10"/>
      <c r="K53" s="10"/>
    </row>
    <row r="54" customFormat="false" ht="23.85" hidden="false" customHeight="false" outlineLevel="0" collapsed="false">
      <c r="A54" s="8" t="s">
        <v>170</v>
      </c>
      <c r="B54" s="4" t="s">
        <v>171</v>
      </c>
      <c r="C54" s="4" t="s">
        <v>40</v>
      </c>
      <c r="D54" s="5" t="n">
        <v>16095</v>
      </c>
      <c r="E54" s="4" t="s">
        <v>41</v>
      </c>
      <c r="F54" s="4" t="s">
        <v>171</v>
      </c>
      <c r="G54" s="9" t="s">
        <v>42</v>
      </c>
      <c r="H54" s="4" t="s">
        <v>43</v>
      </c>
      <c r="I54" s="4" t="s">
        <v>44</v>
      </c>
      <c r="J54" s="10"/>
      <c r="K54" s="10"/>
    </row>
    <row r="55" customFormat="false" ht="23.85" hidden="false" customHeight="false" outlineLevel="0" collapsed="false">
      <c r="A55" s="8" t="s">
        <v>172</v>
      </c>
      <c r="B55" s="4" t="s">
        <v>173</v>
      </c>
      <c r="C55" s="4" t="s">
        <v>40</v>
      </c>
      <c r="D55" s="5" t="n">
        <v>12359</v>
      </c>
      <c r="E55" s="4" t="s">
        <v>41</v>
      </c>
      <c r="F55" s="4" t="s">
        <v>173</v>
      </c>
      <c r="G55" s="9" t="s">
        <v>42</v>
      </c>
      <c r="H55" s="4" t="s">
        <v>43</v>
      </c>
      <c r="I55" s="4" t="s">
        <v>44</v>
      </c>
      <c r="J55" s="10"/>
      <c r="K55" s="10"/>
    </row>
    <row r="56" customFormat="false" ht="23.85" hidden="false" customHeight="false" outlineLevel="0" collapsed="false">
      <c r="A56" s="8" t="s">
        <v>174</v>
      </c>
      <c r="B56" s="4" t="s">
        <v>175</v>
      </c>
      <c r="C56" s="4" t="s">
        <v>40</v>
      </c>
      <c r="D56" s="5" t="n">
        <v>18807</v>
      </c>
      <c r="E56" s="4" t="s">
        <v>41</v>
      </c>
      <c r="F56" s="4" t="s">
        <v>175</v>
      </c>
      <c r="G56" s="9" t="s">
        <v>42</v>
      </c>
      <c r="H56" s="4" t="s">
        <v>43</v>
      </c>
      <c r="I56" s="4" t="s">
        <v>44</v>
      </c>
      <c r="J56" s="10"/>
      <c r="K56" s="10"/>
    </row>
    <row r="57" customFormat="false" ht="23.85" hidden="false" customHeight="false" outlineLevel="0" collapsed="false">
      <c r="A57" s="8" t="s">
        <v>176</v>
      </c>
      <c r="B57" s="4" t="s">
        <v>177</v>
      </c>
      <c r="C57" s="4" t="s">
        <v>40</v>
      </c>
      <c r="D57" s="5" t="n">
        <v>15398</v>
      </c>
      <c r="E57" s="4" t="s">
        <v>41</v>
      </c>
      <c r="F57" s="4" t="s">
        <v>177</v>
      </c>
      <c r="G57" s="9" t="s">
        <v>42</v>
      </c>
      <c r="H57" s="4" t="s">
        <v>43</v>
      </c>
      <c r="I57" s="4" t="s">
        <v>44</v>
      </c>
      <c r="J57" s="10"/>
      <c r="K57" s="10"/>
    </row>
    <row r="58" customFormat="false" ht="23.85" hidden="false" customHeight="false" outlineLevel="0" collapsed="false">
      <c r="A58" s="8" t="s">
        <v>178</v>
      </c>
      <c r="B58" s="4" t="s">
        <v>179</v>
      </c>
      <c r="C58" s="4" t="s">
        <v>40</v>
      </c>
      <c r="D58" s="5" t="n">
        <v>42672</v>
      </c>
      <c r="E58" s="4" t="s">
        <v>41</v>
      </c>
      <c r="F58" s="4" t="s">
        <v>179</v>
      </c>
      <c r="G58" s="9" t="s">
        <v>42</v>
      </c>
      <c r="H58" s="4" t="s">
        <v>43</v>
      </c>
      <c r="I58" s="4" t="s">
        <v>44</v>
      </c>
      <c r="J58" s="10"/>
      <c r="K58" s="10"/>
    </row>
    <row r="59" customFormat="false" ht="15" hidden="false" customHeight="false" outlineLevel="0" collapsed="false">
      <c r="A59" s="8" t="s">
        <v>180</v>
      </c>
      <c r="B59" s="4" t="s">
        <v>181</v>
      </c>
      <c r="C59" s="4" t="s">
        <v>69</v>
      </c>
      <c r="D59" s="5" t="n">
        <v>3277</v>
      </c>
      <c r="E59" s="4" t="s">
        <v>63</v>
      </c>
      <c r="F59" s="4" t="s">
        <v>81</v>
      </c>
      <c r="G59" s="13" t="s">
        <v>93</v>
      </c>
      <c r="H59" s="4" t="s">
        <v>43</v>
      </c>
      <c r="I59" s="4" t="s">
        <v>94</v>
      </c>
      <c r="J59" s="10"/>
      <c r="K59" s="10"/>
    </row>
    <row r="60" customFormat="false" ht="23.85" hidden="false" customHeight="false" outlineLevel="0" collapsed="false">
      <c r="A60" s="8" t="s">
        <v>182</v>
      </c>
      <c r="B60" s="4" t="s">
        <v>183</v>
      </c>
      <c r="C60" s="4" t="s">
        <v>40</v>
      </c>
      <c r="D60" s="5" t="n">
        <v>12220</v>
      </c>
      <c r="E60" s="4" t="s">
        <v>41</v>
      </c>
      <c r="F60" s="4" t="s">
        <v>183</v>
      </c>
      <c r="G60" s="9" t="s">
        <v>42</v>
      </c>
      <c r="H60" s="4" t="s">
        <v>43</v>
      </c>
      <c r="I60" s="4" t="s">
        <v>44</v>
      </c>
      <c r="J60" s="10"/>
      <c r="K60" s="10"/>
    </row>
    <row r="61" customFormat="false" ht="23.85" hidden="false" customHeight="false" outlineLevel="0" collapsed="false">
      <c r="A61" s="8" t="s">
        <v>184</v>
      </c>
      <c r="B61" s="4" t="s">
        <v>185</v>
      </c>
      <c r="C61" s="4" t="s">
        <v>40</v>
      </c>
      <c r="D61" s="5" t="n">
        <v>10305</v>
      </c>
      <c r="E61" s="4" t="s">
        <v>41</v>
      </c>
      <c r="F61" s="4" t="s">
        <v>185</v>
      </c>
      <c r="G61" s="9" t="s">
        <v>42</v>
      </c>
      <c r="H61" s="4" t="s">
        <v>43</v>
      </c>
      <c r="I61" s="4" t="s">
        <v>44</v>
      </c>
      <c r="J61" s="10"/>
      <c r="K61" s="10"/>
    </row>
    <row r="62" customFormat="false" ht="23.85" hidden="false" customHeight="false" outlineLevel="0" collapsed="false">
      <c r="A62" s="8" t="s">
        <v>186</v>
      </c>
      <c r="B62" s="4" t="s">
        <v>187</v>
      </c>
      <c r="C62" s="4" t="s">
        <v>69</v>
      </c>
      <c r="D62" s="5" t="n">
        <v>3457</v>
      </c>
      <c r="E62" s="4" t="s">
        <v>41</v>
      </c>
      <c r="F62" s="4" t="s">
        <v>187</v>
      </c>
      <c r="G62" s="9" t="s">
        <v>42</v>
      </c>
      <c r="H62" s="4" t="s">
        <v>43</v>
      </c>
      <c r="I62" s="4" t="s">
        <v>44</v>
      </c>
      <c r="J62" s="10"/>
      <c r="K62" s="10"/>
    </row>
    <row r="63" customFormat="false" ht="15" hidden="false" customHeight="false" outlineLevel="0" collapsed="false">
      <c r="A63" s="8" t="s">
        <v>188</v>
      </c>
      <c r="B63" s="4" t="s">
        <v>189</v>
      </c>
      <c r="C63" s="4" t="s">
        <v>69</v>
      </c>
      <c r="D63" s="5" t="n">
        <v>3142</v>
      </c>
      <c r="E63" s="4" t="s">
        <v>63</v>
      </c>
      <c r="F63" s="4" t="s">
        <v>81</v>
      </c>
      <c r="G63" s="13" t="s">
        <v>93</v>
      </c>
      <c r="H63" s="4" t="s">
        <v>43</v>
      </c>
      <c r="I63" s="4" t="s">
        <v>94</v>
      </c>
      <c r="J63" s="10"/>
      <c r="K63" s="10"/>
    </row>
    <row r="64" customFormat="false" ht="15" hidden="false" customHeight="false" outlineLevel="0" collapsed="false">
      <c r="A64" s="8" t="s">
        <v>190</v>
      </c>
      <c r="B64" s="4" t="s">
        <v>191</v>
      </c>
      <c r="C64" s="4" t="s">
        <v>69</v>
      </c>
      <c r="D64" s="5" t="n">
        <v>3415</v>
      </c>
      <c r="E64" s="4" t="s">
        <v>63</v>
      </c>
      <c r="F64" s="4" t="s">
        <v>81</v>
      </c>
      <c r="G64" s="13" t="s">
        <v>93</v>
      </c>
      <c r="H64" s="4" t="s">
        <v>43</v>
      </c>
      <c r="I64" s="4" t="s">
        <v>94</v>
      </c>
      <c r="J64" s="10"/>
      <c r="K64" s="10"/>
    </row>
    <row r="65" customFormat="false" ht="23.85" hidden="false" customHeight="false" outlineLevel="0" collapsed="false">
      <c r="A65" s="8" t="s">
        <v>192</v>
      </c>
      <c r="B65" s="4" t="s">
        <v>193</v>
      </c>
      <c r="C65" s="4" t="s">
        <v>69</v>
      </c>
      <c r="D65" s="5" t="n">
        <v>2560</v>
      </c>
      <c r="E65" s="4" t="s">
        <v>41</v>
      </c>
      <c r="F65" s="4" t="s">
        <v>193</v>
      </c>
      <c r="G65" s="9" t="s">
        <v>42</v>
      </c>
      <c r="H65" s="4" t="s">
        <v>43</v>
      </c>
      <c r="I65" s="4" t="s">
        <v>44</v>
      </c>
      <c r="J65" s="10"/>
      <c r="K65" s="10"/>
    </row>
    <row r="66" customFormat="false" ht="23.85" hidden="false" customHeight="false" outlineLevel="0" collapsed="false">
      <c r="A66" s="8" t="s">
        <v>194</v>
      </c>
      <c r="B66" s="4" t="s">
        <v>195</v>
      </c>
      <c r="C66" s="4" t="s">
        <v>69</v>
      </c>
      <c r="D66" s="5" t="n">
        <v>4041</v>
      </c>
      <c r="E66" s="4" t="s">
        <v>41</v>
      </c>
      <c r="F66" s="4" t="s">
        <v>195</v>
      </c>
      <c r="G66" s="9" t="s">
        <v>42</v>
      </c>
      <c r="H66" s="4" t="s">
        <v>43</v>
      </c>
      <c r="I66" s="4" t="s">
        <v>44</v>
      </c>
      <c r="J66" s="10"/>
      <c r="K66" s="10"/>
    </row>
    <row r="67" customFormat="false" ht="15" hidden="false" customHeight="false" outlineLevel="0" collapsed="false">
      <c r="A67" s="8" t="s">
        <v>196</v>
      </c>
      <c r="B67" s="4" t="s">
        <v>197</v>
      </c>
      <c r="C67" s="4" t="s">
        <v>69</v>
      </c>
      <c r="D67" s="5" t="n">
        <v>4465</v>
      </c>
      <c r="E67" s="4" t="s">
        <v>63</v>
      </c>
      <c r="F67" s="4" t="s">
        <v>81</v>
      </c>
      <c r="G67" s="13" t="s">
        <v>93</v>
      </c>
      <c r="H67" s="4" t="s">
        <v>43</v>
      </c>
      <c r="I67" s="4" t="s">
        <v>94</v>
      </c>
      <c r="J67" s="10"/>
      <c r="K67" s="10"/>
    </row>
    <row r="68" customFormat="false" ht="15" hidden="false" customHeight="false" outlineLevel="0" collapsed="false">
      <c r="A68" s="8" t="s">
        <v>198</v>
      </c>
      <c r="B68" s="4" t="s">
        <v>199</v>
      </c>
      <c r="C68" s="4" t="s">
        <v>69</v>
      </c>
      <c r="D68" s="5" t="n">
        <v>2799</v>
      </c>
      <c r="E68" s="4" t="s">
        <v>63</v>
      </c>
      <c r="F68" s="4" t="s">
        <v>81</v>
      </c>
      <c r="G68" s="13" t="s">
        <v>93</v>
      </c>
      <c r="H68" s="4" t="s">
        <v>43</v>
      </c>
      <c r="I68" s="4" t="s">
        <v>94</v>
      </c>
      <c r="J68" s="10"/>
      <c r="K68" s="10"/>
    </row>
    <row r="69" customFormat="false" ht="15" hidden="false" customHeight="false" outlineLevel="0" collapsed="false">
      <c r="A69" s="8" t="s">
        <v>200</v>
      </c>
      <c r="B69" s="4" t="s">
        <v>201</v>
      </c>
      <c r="C69" s="4" t="s">
        <v>69</v>
      </c>
      <c r="D69" s="5" t="n">
        <v>2309</v>
      </c>
      <c r="E69" s="4" t="s">
        <v>63</v>
      </c>
      <c r="F69" s="4" t="s">
        <v>81</v>
      </c>
      <c r="G69" s="13" t="s">
        <v>93</v>
      </c>
      <c r="H69" s="4" t="s">
        <v>43</v>
      </c>
      <c r="I69" s="4" t="s">
        <v>94</v>
      </c>
      <c r="J69" s="10"/>
      <c r="K69" s="10"/>
    </row>
    <row r="70" customFormat="false" ht="15" hidden="false" customHeight="false" outlineLevel="0" collapsed="false">
      <c r="A70" s="8" t="s">
        <v>202</v>
      </c>
      <c r="B70" s="4" t="s">
        <v>203</v>
      </c>
      <c r="C70" s="4" t="s">
        <v>69</v>
      </c>
      <c r="D70" s="5" t="n">
        <v>4783</v>
      </c>
      <c r="E70" s="4" t="s">
        <v>63</v>
      </c>
      <c r="F70" s="4" t="s">
        <v>81</v>
      </c>
      <c r="G70" s="13" t="s">
        <v>93</v>
      </c>
      <c r="H70" s="4" t="s">
        <v>43</v>
      </c>
      <c r="I70" s="4" t="s">
        <v>94</v>
      </c>
      <c r="J70" s="10"/>
      <c r="K70" s="10"/>
    </row>
    <row r="71" customFormat="false" ht="15" hidden="false" customHeight="false" outlineLevel="0" collapsed="false">
      <c r="A71" s="8" t="s">
        <v>204</v>
      </c>
      <c r="B71" s="4" t="s">
        <v>205</v>
      </c>
      <c r="C71" s="4" t="s">
        <v>69</v>
      </c>
      <c r="D71" s="5" t="n">
        <v>3438</v>
      </c>
      <c r="E71" s="4" t="s">
        <v>63</v>
      </c>
      <c r="F71" s="4" t="s">
        <v>81</v>
      </c>
      <c r="G71" s="13" t="s">
        <v>93</v>
      </c>
      <c r="H71" s="4" t="s">
        <v>43</v>
      </c>
      <c r="I71" s="4" t="s">
        <v>94</v>
      </c>
      <c r="J71" s="10"/>
      <c r="K71" s="10"/>
    </row>
    <row r="72" customFormat="false" ht="23.85" hidden="false" customHeight="false" outlineLevel="0" collapsed="false">
      <c r="A72" s="8" t="s">
        <v>206</v>
      </c>
      <c r="B72" s="4" t="s">
        <v>207</v>
      </c>
      <c r="C72" s="4" t="s">
        <v>69</v>
      </c>
      <c r="D72" s="5" t="n">
        <v>2166</v>
      </c>
      <c r="E72" s="4" t="s">
        <v>41</v>
      </c>
      <c r="F72" s="4" t="s">
        <v>207</v>
      </c>
      <c r="G72" s="9" t="s">
        <v>42</v>
      </c>
      <c r="H72" s="4" t="s">
        <v>43</v>
      </c>
      <c r="I72" s="4" t="s">
        <v>44</v>
      </c>
      <c r="J72" s="10"/>
      <c r="K72" s="10"/>
    </row>
    <row r="73" customFormat="false" ht="23.85" hidden="false" customHeight="false" outlineLevel="0" collapsed="false">
      <c r="A73" s="8" t="s">
        <v>208</v>
      </c>
      <c r="B73" s="4" t="s">
        <v>209</v>
      </c>
      <c r="C73" s="4" t="s">
        <v>69</v>
      </c>
      <c r="D73" s="5" t="n">
        <v>2663</v>
      </c>
      <c r="E73" s="4" t="s">
        <v>63</v>
      </c>
      <c r="F73" s="4" t="s">
        <v>210</v>
      </c>
      <c r="G73" s="11" t="s">
        <v>65</v>
      </c>
      <c r="H73" s="4" t="s">
        <v>43</v>
      </c>
      <c r="I73" s="4" t="s">
        <v>66</v>
      </c>
      <c r="J73" s="10"/>
      <c r="K73" s="10"/>
    </row>
    <row r="74" customFormat="false" ht="15" hidden="false" customHeight="false" outlineLevel="0" collapsed="false">
      <c r="A74" s="8" t="s">
        <v>211</v>
      </c>
      <c r="B74" s="4" t="s">
        <v>212</v>
      </c>
      <c r="C74" s="4" t="s">
        <v>40</v>
      </c>
      <c r="D74" s="5" t="n">
        <v>5639</v>
      </c>
      <c r="E74" s="4" t="s">
        <v>63</v>
      </c>
      <c r="F74" s="4" t="s">
        <v>81</v>
      </c>
      <c r="G74" s="13" t="s">
        <v>93</v>
      </c>
      <c r="H74" s="4" t="s">
        <v>43</v>
      </c>
      <c r="I74" s="4" t="s">
        <v>94</v>
      </c>
      <c r="J74" s="10"/>
      <c r="K74" s="10"/>
    </row>
    <row r="75" customFormat="false" ht="15" hidden="false" customHeight="false" outlineLevel="0" collapsed="false">
      <c r="A75" s="8" t="s">
        <v>213</v>
      </c>
      <c r="B75" s="4" t="s">
        <v>214</v>
      </c>
      <c r="C75" s="4" t="s">
        <v>40</v>
      </c>
      <c r="D75" s="5" t="n">
        <v>9358</v>
      </c>
      <c r="E75" s="4" t="s">
        <v>63</v>
      </c>
      <c r="F75" s="4" t="s">
        <v>215</v>
      </c>
      <c r="G75" s="12" t="s">
        <v>82</v>
      </c>
      <c r="H75" s="4" t="s">
        <v>83</v>
      </c>
      <c r="I75" s="4" t="s">
        <v>216</v>
      </c>
      <c r="J75" s="10"/>
      <c r="K75" s="10"/>
    </row>
    <row r="76" customFormat="false" ht="23.85" hidden="false" customHeight="false" outlineLevel="0" collapsed="false">
      <c r="A76" s="8" t="s">
        <v>217</v>
      </c>
      <c r="B76" s="4" t="s">
        <v>218</v>
      </c>
      <c r="C76" s="4" t="s">
        <v>40</v>
      </c>
      <c r="D76" s="5" t="n">
        <v>13898</v>
      </c>
      <c r="E76" s="4" t="s">
        <v>63</v>
      </c>
      <c r="F76" s="4" t="s">
        <v>219</v>
      </c>
      <c r="G76" s="12" t="s">
        <v>82</v>
      </c>
      <c r="H76" s="4" t="s">
        <v>83</v>
      </c>
      <c r="I76" s="4" t="s">
        <v>220</v>
      </c>
      <c r="J76" s="10"/>
      <c r="K76" s="10"/>
    </row>
  </sheetData>
  <autoFilter ref="A1:K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7" t="s">
        <v>221</v>
      </c>
      <c r="B1" s="7" t="s">
        <v>222</v>
      </c>
      <c r="C1" s="7" t="s">
        <v>223</v>
      </c>
      <c r="D1" s="7" t="s">
        <v>224</v>
      </c>
      <c r="E1" s="7" t="s">
        <v>33</v>
      </c>
      <c r="F1" s="7" t="s">
        <v>225</v>
      </c>
      <c r="G1" s="7" t="s">
        <v>226</v>
      </c>
      <c r="H1" s="7" t="s">
        <v>37</v>
      </c>
    </row>
    <row r="2" customFormat="false" ht="15" hidden="false" customHeight="false" outlineLevel="0" collapsed="false">
      <c r="A2" s="4" t="s">
        <v>64</v>
      </c>
      <c r="B2" s="4" t="s">
        <v>227</v>
      </c>
      <c r="C2" s="4" t="s">
        <v>62</v>
      </c>
      <c r="D2" s="8" t="str">
        <f aca="false">IF(C2="","",IFERROR(INDEX(Crosswalk!$A$2:$A$76,MATCH(C2,Crosswalk!$B$2:$B$76,0)),"not found"))</f>
        <v>0402106016</v>
      </c>
      <c r="E2" s="11" t="s">
        <v>65</v>
      </c>
      <c r="F2" s="4" t="s">
        <v>228</v>
      </c>
      <c r="G2" s="10"/>
      <c r="H2" s="10"/>
    </row>
    <row r="3" customFormat="false" ht="15" hidden="false" customHeight="false" outlineLevel="0" collapsed="false">
      <c r="A3" s="4" t="s">
        <v>70</v>
      </c>
      <c r="B3" s="4" t="s">
        <v>227</v>
      </c>
      <c r="C3" s="4" t="s">
        <v>68</v>
      </c>
      <c r="D3" s="8" t="str">
        <f aca="false">IF(C3="","",IFERROR(INDEX(Crosswalk!$A$2:$A$76,MATCH(C3,Crosswalk!$B$2:$B$76,0)),"not found"))</f>
        <v>0402106017</v>
      </c>
      <c r="E3" s="11" t="s">
        <v>65</v>
      </c>
      <c r="F3" s="4" t="s">
        <v>228</v>
      </c>
      <c r="G3" s="10"/>
      <c r="H3" s="10"/>
    </row>
    <row r="4" customFormat="false" ht="15" hidden="false" customHeight="false" outlineLevel="0" collapsed="false">
      <c r="A4" s="4" t="s">
        <v>73</v>
      </c>
      <c r="B4" s="4" t="s">
        <v>227</v>
      </c>
      <c r="C4" s="4" t="s">
        <v>72</v>
      </c>
      <c r="D4" s="8" t="str">
        <f aca="false">IF(C4="","",IFERROR(INDEX(Crosswalk!$A$2:$A$76,MATCH(C4,Crosswalk!$B$2:$B$76,0)),"not found"))</f>
        <v>0402106018</v>
      </c>
      <c r="E4" s="11" t="s">
        <v>65</v>
      </c>
      <c r="F4" s="4" t="s">
        <v>228</v>
      </c>
      <c r="G4" s="10"/>
      <c r="H4" s="10"/>
    </row>
    <row r="5" customFormat="false" ht="15" hidden="false" customHeight="false" outlineLevel="0" collapsed="false">
      <c r="A5" s="4" t="s">
        <v>76</v>
      </c>
      <c r="B5" s="4" t="s">
        <v>227</v>
      </c>
      <c r="C5" s="4" t="s">
        <v>75</v>
      </c>
      <c r="D5" s="8" t="str">
        <f aca="false">IF(C5="","",IFERROR(INDEX(Crosswalk!$A$2:$A$76,MATCH(C5,Crosswalk!$B$2:$B$76,0)),"not found"))</f>
        <v>0402106019</v>
      </c>
      <c r="E5" s="11" t="s">
        <v>65</v>
      </c>
      <c r="F5" s="4" t="s">
        <v>228</v>
      </c>
      <c r="G5" s="10"/>
      <c r="H5" s="10"/>
    </row>
    <row r="6" customFormat="false" ht="15" hidden="false" customHeight="false" outlineLevel="0" collapsed="false">
      <c r="A6" s="4" t="s">
        <v>144</v>
      </c>
      <c r="B6" s="4" t="s">
        <v>227</v>
      </c>
      <c r="C6" s="4" t="s">
        <v>143</v>
      </c>
      <c r="D6" s="8" t="str">
        <f aca="false">IF(C6="","",IFERROR(INDEX(Crosswalk!$A$2:$A$76,MATCH(C6,Crosswalk!$B$2:$B$76,0)),"not found"))</f>
        <v>0402106046</v>
      </c>
      <c r="E6" s="11" t="s">
        <v>65</v>
      </c>
      <c r="F6" s="4" t="s">
        <v>229</v>
      </c>
      <c r="G6" s="10"/>
      <c r="H6" s="10"/>
    </row>
    <row r="7" customFormat="false" ht="15" hidden="false" customHeight="false" outlineLevel="0" collapsed="false">
      <c r="A7" s="4" t="s">
        <v>210</v>
      </c>
      <c r="B7" s="4" t="s">
        <v>227</v>
      </c>
      <c r="C7" s="4" t="s">
        <v>209</v>
      </c>
      <c r="D7" s="8" t="str">
        <f aca="false">IF(C7="","",IFERROR(INDEX(Crosswalk!$A$2:$A$76,MATCH(C7,Crosswalk!$B$2:$B$76,0)),"not found"))</f>
        <v>0402106078</v>
      </c>
      <c r="E7" s="11" t="s">
        <v>65</v>
      </c>
      <c r="F7" s="4" t="s">
        <v>229</v>
      </c>
      <c r="G7" s="10"/>
      <c r="H7" s="10"/>
    </row>
    <row r="8" customFormat="false" ht="15" hidden="false" customHeight="false" outlineLevel="0" collapsed="false">
      <c r="A8" s="4" t="s">
        <v>230</v>
      </c>
      <c r="B8" s="4" t="s">
        <v>231</v>
      </c>
      <c r="C8" s="4" t="s">
        <v>108</v>
      </c>
      <c r="D8" s="8" t="str">
        <f aca="false">IF(C8="","",IFERROR(INDEX(Crosswalk!$A$2:$A$76,MATCH(C8,Crosswalk!$B$2:$B$76,0)),"not found"))</f>
        <v>0402106031</v>
      </c>
      <c r="E8" s="14" t="s">
        <v>110</v>
      </c>
      <c r="F8" s="4" t="s">
        <v>232</v>
      </c>
      <c r="G8" s="10"/>
      <c r="H8" s="10"/>
    </row>
    <row r="9" customFormat="false" ht="15" hidden="false" customHeight="false" outlineLevel="0" collapsed="false">
      <c r="A9" s="4" t="s">
        <v>233</v>
      </c>
      <c r="B9" s="4" t="s">
        <v>231</v>
      </c>
      <c r="C9" s="4" t="s">
        <v>108</v>
      </c>
      <c r="D9" s="8" t="str">
        <f aca="false">IF(C9="","",IFERROR(INDEX(Crosswalk!$A$2:$A$76,MATCH(C9,Crosswalk!$B$2:$B$76,0)),"not found"))</f>
        <v>0402106031</v>
      </c>
      <c r="E9" s="14" t="s">
        <v>110</v>
      </c>
      <c r="F9" s="4" t="s">
        <v>232</v>
      </c>
      <c r="G9" s="10"/>
      <c r="H9" s="10"/>
    </row>
    <row r="10" customFormat="false" ht="15" hidden="false" customHeight="false" outlineLevel="0" collapsed="false">
      <c r="A10" s="4" t="s">
        <v>234</v>
      </c>
      <c r="B10" s="4" t="s">
        <v>231</v>
      </c>
      <c r="C10" s="4" t="s">
        <v>133</v>
      </c>
      <c r="D10" s="8" t="str">
        <f aca="false">IF(C10="","",IFERROR(INDEX(Crosswalk!$A$2:$A$76,MATCH(C10,Crosswalk!$B$2:$B$76,0)),"not found"))</f>
        <v>0402106042</v>
      </c>
      <c r="E10" s="14" t="s">
        <v>110</v>
      </c>
      <c r="F10" s="4" t="s">
        <v>232</v>
      </c>
      <c r="G10" s="10"/>
      <c r="H10" s="10"/>
    </row>
    <row r="11" customFormat="false" ht="15" hidden="false" customHeight="false" outlineLevel="0" collapsed="false">
      <c r="A11" s="4" t="s">
        <v>235</v>
      </c>
      <c r="B11" s="4" t="s">
        <v>231</v>
      </c>
      <c r="C11" s="4" t="s">
        <v>133</v>
      </c>
      <c r="D11" s="8" t="str">
        <f aca="false">IF(C11="","",IFERROR(INDEX(Crosswalk!$A$2:$A$76,MATCH(C11,Crosswalk!$B$2:$B$76,0)),"not found"))</f>
        <v>0402106042</v>
      </c>
      <c r="E11" s="14" t="s">
        <v>110</v>
      </c>
      <c r="F11" s="4" t="s">
        <v>232</v>
      </c>
      <c r="G11" s="10"/>
      <c r="H11" s="10"/>
    </row>
    <row r="12" customFormat="false" ht="15" hidden="false" customHeight="false" outlineLevel="0" collapsed="false">
      <c r="A12" s="4" t="s">
        <v>236</v>
      </c>
      <c r="B12" s="4" t="s">
        <v>231</v>
      </c>
      <c r="C12" s="4" t="s">
        <v>140</v>
      </c>
      <c r="D12" s="8" t="str">
        <f aca="false">IF(C12="","",IFERROR(INDEX(Crosswalk!$A$2:$A$76,MATCH(C12,Crosswalk!$B$2:$B$76,0)),"not found"))</f>
        <v>0402106045</v>
      </c>
      <c r="E12" s="14" t="s">
        <v>110</v>
      </c>
      <c r="F12" s="4" t="s">
        <v>232</v>
      </c>
      <c r="G12" s="10"/>
      <c r="H12" s="10"/>
    </row>
    <row r="13" customFormat="false" ht="15" hidden="false" customHeight="false" outlineLevel="0" collapsed="false">
      <c r="A13" s="4" t="s">
        <v>237</v>
      </c>
      <c r="B13" s="4" t="s">
        <v>231</v>
      </c>
      <c r="C13" s="4" t="s">
        <v>140</v>
      </c>
      <c r="D13" s="8" t="str">
        <f aca="false">IF(C13="","",IFERROR(INDEX(Crosswalk!$A$2:$A$76,MATCH(C13,Crosswalk!$B$2:$B$76,0)),"not found"))</f>
        <v>0402106045</v>
      </c>
      <c r="E13" s="14" t="s">
        <v>110</v>
      </c>
      <c r="F13" s="4" t="s">
        <v>232</v>
      </c>
      <c r="G13" s="10"/>
      <c r="H13" s="10"/>
    </row>
    <row r="14" customFormat="false" ht="15" hidden="false" customHeight="false" outlineLevel="0" collapsed="false">
      <c r="A14" s="4" t="s">
        <v>238</v>
      </c>
      <c r="B14" s="4" t="s">
        <v>231</v>
      </c>
      <c r="C14" s="4" t="s">
        <v>218</v>
      </c>
      <c r="D14" s="8" t="str">
        <f aca="false">IF(C14="","",IFERROR(INDEX(Crosswalk!$A$2:$A$76,MATCH(C14,Crosswalk!$B$2:$B$76,0)),"not found"))</f>
        <v>0402106081</v>
      </c>
      <c r="E14" s="12" t="s">
        <v>82</v>
      </c>
      <c r="F14" s="4" t="s">
        <v>239</v>
      </c>
      <c r="G14" s="10"/>
      <c r="H14" s="10"/>
    </row>
    <row r="15" customFormat="false" ht="15" hidden="false" customHeight="false" outlineLevel="0" collapsed="false">
      <c r="A15" s="4" t="s">
        <v>240</v>
      </c>
      <c r="B15" s="4" t="s">
        <v>231</v>
      </c>
      <c r="C15" s="4" t="s">
        <v>218</v>
      </c>
      <c r="D15" s="8" t="str">
        <f aca="false">IF(C15="","",IFERROR(INDEX(Crosswalk!$A$2:$A$76,MATCH(C15,Crosswalk!$B$2:$B$76,0)),"not found"))</f>
        <v>0402106081</v>
      </c>
      <c r="E15" s="12" t="s">
        <v>82</v>
      </c>
      <c r="F15" s="4" t="s">
        <v>239</v>
      </c>
      <c r="G15" s="10"/>
      <c r="H15" s="10"/>
    </row>
    <row r="16" customFormat="false" ht="15" hidden="false" customHeight="false" outlineLevel="0" collapsed="false">
      <c r="A16" s="4" t="s">
        <v>241</v>
      </c>
      <c r="B16" s="4" t="s">
        <v>242</v>
      </c>
      <c r="C16" s="4" t="s">
        <v>88</v>
      </c>
      <c r="D16" s="8" t="str">
        <f aca="false">IF(C16="","",IFERROR(INDEX(Crosswalk!$A$2:$A$76,MATCH(C16,Crosswalk!$B$2:$B$76,0)),"not found"))</f>
        <v>0402106023</v>
      </c>
      <c r="E16" s="12" t="s">
        <v>82</v>
      </c>
      <c r="F16" s="4" t="s">
        <v>243</v>
      </c>
      <c r="G16" s="10"/>
      <c r="H16" s="10"/>
    </row>
    <row r="17" customFormat="false" ht="15" hidden="false" customHeight="false" outlineLevel="0" collapsed="false">
      <c r="A17" s="4" t="s">
        <v>244</v>
      </c>
      <c r="B17" s="4" t="s">
        <v>242</v>
      </c>
      <c r="C17" s="4" t="s">
        <v>160</v>
      </c>
      <c r="D17" s="8" t="str">
        <f aca="false">IF(C17="","",IFERROR(INDEX(Crosswalk!$A$2:$A$76,MATCH(C17,Crosswalk!$B$2:$B$76,0)),"not found"))</f>
        <v>0402106054</v>
      </c>
      <c r="E17" s="12" t="s">
        <v>82</v>
      </c>
      <c r="F17" s="4" t="s">
        <v>243</v>
      </c>
      <c r="G17" s="10"/>
      <c r="H17" s="10"/>
    </row>
    <row r="18" customFormat="false" ht="15" hidden="false" customHeight="false" outlineLevel="0" collapsed="false">
      <c r="A18" s="4" t="s">
        <v>245</v>
      </c>
      <c r="B18" s="4" t="s">
        <v>246</v>
      </c>
      <c r="C18" s="4" t="s">
        <v>214</v>
      </c>
      <c r="D18" s="8" t="str">
        <f aca="false">IF(C18="","",IFERROR(INDEX(Crosswalk!$A$2:$A$76,MATCH(C18,Crosswalk!$B$2:$B$76,0)),"not found"))</f>
        <v>0402106080</v>
      </c>
      <c r="E18" s="12" t="s">
        <v>82</v>
      </c>
      <c r="F18" s="4" t="s">
        <v>247</v>
      </c>
      <c r="G18" s="10"/>
      <c r="H18" s="10"/>
    </row>
    <row r="19" customFormat="false" ht="15" hidden="false" customHeight="false" outlineLevel="0" collapsed="false">
      <c r="A19" s="4" t="s">
        <v>248</v>
      </c>
      <c r="B19" s="4" t="s">
        <v>249</v>
      </c>
      <c r="C19" s="4"/>
      <c r="D19" s="8" t="str">
        <f aca="false">IF(C19="","",IFERROR(INDEX(Crosswalk!$A$2:$A$76,MATCH(C19,Crosswalk!$B$2:$B$76,0)),"not found"))</f>
        <v/>
      </c>
      <c r="E19" s="12" t="s">
        <v>82</v>
      </c>
      <c r="F19" s="4" t="s">
        <v>250</v>
      </c>
      <c r="G19" s="10"/>
      <c r="H19" s="10"/>
    </row>
    <row r="20" customFormat="false" ht="15" hidden="false" customHeight="false" outlineLevel="0" collapsed="false">
      <c r="A20" s="4" t="s">
        <v>251</v>
      </c>
      <c r="B20" s="4" t="s">
        <v>249</v>
      </c>
      <c r="C20" s="4"/>
      <c r="D20" s="8" t="str">
        <f aca="false">IF(C20="","",IFERROR(INDEX(Crosswalk!$A$2:$A$76,MATCH(C20,Crosswalk!$B$2:$B$76,0)),"not found"))</f>
        <v/>
      </c>
      <c r="E20" s="12" t="s">
        <v>82</v>
      </c>
      <c r="F20" s="4" t="s">
        <v>250</v>
      </c>
      <c r="G20" s="10"/>
      <c r="H20" s="10"/>
    </row>
    <row r="21" customFormat="false" ht="15" hidden="false" customHeight="false" outlineLevel="0" collapsed="false">
      <c r="A21" s="4" t="s">
        <v>252</v>
      </c>
      <c r="B21" s="4" t="s">
        <v>249</v>
      </c>
      <c r="C21" s="4"/>
      <c r="D21" s="8" t="str">
        <f aca="false">IF(C21="","",IFERROR(INDEX(Crosswalk!$A$2:$A$76,MATCH(C21,Crosswalk!$B$2:$B$76,0)),"not found"))</f>
        <v/>
      </c>
      <c r="E21" s="12" t="s">
        <v>82</v>
      </c>
      <c r="F21" s="4" t="s">
        <v>250</v>
      </c>
      <c r="G21" s="10"/>
      <c r="H21" s="10"/>
    </row>
    <row r="22" customFormat="false" ht="15" hidden="false" customHeight="false" outlineLevel="0" collapsed="false">
      <c r="A22" s="4" t="s">
        <v>253</v>
      </c>
      <c r="B22" s="4" t="s">
        <v>249</v>
      </c>
      <c r="C22" s="4"/>
      <c r="D22" s="8" t="str">
        <f aca="false">IF(C22="","",IFERROR(INDEX(Crosswalk!$A$2:$A$76,MATCH(C22,Crosswalk!$B$2:$B$76,0)),"not found"))</f>
        <v/>
      </c>
      <c r="E22" s="12" t="s">
        <v>82</v>
      </c>
      <c r="F22" s="4" t="s">
        <v>250</v>
      </c>
      <c r="G22" s="10"/>
      <c r="H22" s="10"/>
    </row>
    <row r="23" customFormat="false" ht="15" hidden="false" customHeight="false" outlineLevel="0" collapsed="false">
      <c r="A23" s="4" t="s">
        <v>254</v>
      </c>
      <c r="B23" s="4" t="s">
        <v>249</v>
      </c>
      <c r="C23" s="4"/>
      <c r="D23" s="8" t="str">
        <f aca="false">IF(C23="","",IFERROR(INDEX(Crosswalk!$A$2:$A$76,MATCH(C23,Crosswalk!$B$2:$B$76,0)),"not found"))</f>
        <v/>
      </c>
      <c r="E23" s="12" t="s">
        <v>82</v>
      </c>
      <c r="F23" s="4" t="s">
        <v>250</v>
      </c>
      <c r="G23" s="10"/>
      <c r="H23" s="10"/>
    </row>
    <row r="24" customFormat="false" ht="15" hidden="false" customHeight="false" outlineLevel="0" collapsed="false">
      <c r="A24" s="4" t="s">
        <v>255</v>
      </c>
      <c r="B24" s="4" t="s">
        <v>249</v>
      </c>
      <c r="C24" s="4"/>
      <c r="D24" s="8" t="str">
        <f aca="false">IF(C24="","",IFERROR(INDEX(Crosswalk!$A$2:$A$76,MATCH(C24,Crosswalk!$B$2:$B$76,0)),"not found"))</f>
        <v/>
      </c>
      <c r="E24" s="12" t="s">
        <v>82</v>
      </c>
      <c r="F24" s="4" t="s">
        <v>250</v>
      </c>
      <c r="G24" s="10"/>
      <c r="H24" s="10"/>
    </row>
    <row r="25" customFormat="false" ht="15" hidden="false" customHeight="false" outlineLevel="0" collapsed="false">
      <c r="A25" s="4" t="s">
        <v>256</v>
      </c>
      <c r="B25" s="4" t="s">
        <v>249</v>
      </c>
      <c r="C25" s="4"/>
      <c r="D25" s="8" t="str">
        <f aca="false">IF(C25="","",IFERROR(INDEX(Crosswalk!$A$2:$A$76,MATCH(C25,Crosswalk!$B$2:$B$76,0)),"not found"))</f>
        <v/>
      </c>
      <c r="E25" s="12" t="s">
        <v>82</v>
      </c>
      <c r="F25" s="4" t="s">
        <v>250</v>
      </c>
      <c r="G25" s="10"/>
      <c r="H25" s="10"/>
    </row>
    <row r="26" customFormat="false" ht="15" hidden="false" customHeight="false" outlineLevel="0" collapsed="false">
      <c r="A26" s="4" t="s">
        <v>257</v>
      </c>
      <c r="B26" s="4" t="s">
        <v>249</v>
      </c>
      <c r="C26" s="4"/>
      <c r="D26" s="8" t="str">
        <f aca="false">IF(C26="","",IFERROR(INDEX(Crosswalk!$A$2:$A$76,MATCH(C26,Crosswalk!$B$2:$B$76,0)),"not found"))</f>
        <v/>
      </c>
      <c r="E26" s="12" t="s">
        <v>82</v>
      </c>
      <c r="F26" s="4" t="s">
        <v>250</v>
      </c>
      <c r="G26" s="10"/>
      <c r="H26" s="10"/>
    </row>
    <row r="27" customFormat="false" ht="15" hidden="false" customHeight="false" outlineLevel="0" collapsed="false">
      <c r="A27" s="4" t="s">
        <v>258</v>
      </c>
      <c r="B27" s="4" t="s">
        <v>249</v>
      </c>
      <c r="C27" s="4"/>
      <c r="D27" s="8" t="str">
        <f aca="false">IF(C27="","",IFERROR(INDEX(Crosswalk!$A$2:$A$76,MATCH(C27,Crosswalk!$B$2:$B$76,0)),"not found"))</f>
        <v/>
      </c>
      <c r="E27" s="12" t="s">
        <v>82</v>
      </c>
      <c r="F27" s="4" t="s">
        <v>250</v>
      </c>
      <c r="G27" s="10"/>
      <c r="H27" s="10"/>
    </row>
    <row r="28" customFormat="false" ht="15" hidden="false" customHeight="false" outlineLevel="0" collapsed="false">
      <c r="A28" s="4" t="s">
        <v>259</v>
      </c>
      <c r="B28" s="4" t="s">
        <v>249</v>
      </c>
      <c r="C28" s="4"/>
      <c r="D28" s="8" t="str">
        <f aca="false">IF(C28="","",IFERROR(INDEX(Crosswalk!$A$2:$A$76,MATCH(C28,Crosswalk!$B$2:$B$76,0)),"not found"))</f>
        <v/>
      </c>
      <c r="E28" s="12" t="s">
        <v>82</v>
      </c>
      <c r="F28" s="4" t="s">
        <v>250</v>
      </c>
      <c r="G28" s="10"/>
      <c r="H28" s="10"/>
    </row>
    <row r="29" customFormat="false" ht="15" hidden="false" customHeight="false" outlineLevel="0" collapsed="false">
      <c r="A29" s="4" t="s">
        <v>260</v>
      </c>
      <c r="B29" s="4" t="s">
        <v>249</v>
      </c>
      <c r="C29" s="4"/>
      <c r="D29" s="8" t="str">
        <f aca="false">IF(C29="","",IFERROR(INDEX(Crosswalk!$A$2:$A$76,MATCH(C29,Crosswalk!$B$2:$B$76,0)),"not found"))</f>
        <v/>
      </c>
      <c r="E29" s="12" t="s">
        <v>82</v>
      </c>
      <c r="F29" s="4" t="s">
        <v>250</v>
      </c>
      <c r="G29" s="10"/>
      <c r="H29" s="10"/>
    </row>
    <row r="30" customFormat="false" ht="15" hidden="false" customHeight="false" outlineLevel="0" collapsed="false">
      <c r="A30" s="4" t="s">
        <v>261</v>
      </c>
      <c r="B30" s="4" t="s">
        <v>249</v>
      </c>
      <c r="C30" s="4"/>
      <c r="D30" s="8" t="str">
        <f aca="false">IF(C30="","",IFERROR(INDEX(Crosswalk!$A$2:$A$76,MATCH(C30,Crosswalk!$B$2:$B$76,0)),"not found"))</f>
        <v/>
      </c>
      <c r="E30" s="12" t="s">
        <v>82</v>
      </c>
      <c r="F30" s="4" t="s">
        <v>250</v>
      </c>
      <c r="G30" s="10"/>
      <c r="H30" s="10"/>
    </row>
  </sheetData>
  <autoFilter ref="A1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5" t="s">
        <v>262</v>
      </c>
    </row>
    <row r="2" customFormat="false" ht="23.85" hidden="false" customHeight="false" outlineLevel="0" collapsed="false">
      <c r="A2" s="16" t="s">
        <v>263</v>
      </c>
    </row>
    <row r="3" customFormat="false" ht="23.85" hidden="false" customHeight="false" outlineLevel="0" collapsed="false">
      <c r="A3" s="16" t="s">
        <v>264</v>
      </c>
    </row>
    <row r="4" customFormat="false" ht="15" hidden="false" customHeight="false" outlineLevel="0" collapsed="false">
      <c r="A4" s="16"/>
    </row>
    <row r="5" customFormat="false" ht="15" hidden="false" customHeight="false" outlineLevel="0" collapsed="false">
      <c r="A5" s="15" t="s">
        <v>265</v>
      </c>
    </row>
    <row r="6" customFormat="false" ht="23.85" hidden="false" customHeight="false" outlineLevel="0" collapsed="false">
      <c r="A6" s="16" t="s">
        <v>266</v>
      </c>
    </row>
    <row r="7" customFormat="false" ht="23.85" hidden="false" customHeight="false" outlineLevel="0" collapsed="false">
      <c r="A7" s="16" t="s">
        <v>267</v>
      </c>
    </row>
    <row r="8" customFormat="false" ht="23.85" hidden="false" customHeight="false" outlineLevel="0" collapsed="false">
      <c r="A8" s="16" t="s">
        <v>268</v>
      </c>
    </row>
    <row r="9" customFormat="false" ht="15" hidden="false" customHeight="false" outlineLevel="0" collapsed="false">
      <c r="A9" s="16" t="s">
        <v>269</v>
      </c>
    </row>
    <row r="10" customFormat="false" ht="15" hidden="false" customHeight="false" outlineLevel="0" collapsed="false">
      <c r="A10" s="16" t="s">
        <v>270</v>
      </c>
    </row>
    <row r="11" customFormat="false" ht="23.85" hidden="false" customHeight="false" outlineLevel="0" collapsed="false">
      <c r="A11" s="16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2026-10-07T12:59:52Z</dcterms:created>
  <dc:creator>openpyxl</dc:creator>
  <dc:description/>
  <dc:language>en-US</dc:language>
  <cp:lastModifiedBy/>
  <dcterms:modified xsi:type="dcterms:W3CDTF">2026-10-07T12:59:52Z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